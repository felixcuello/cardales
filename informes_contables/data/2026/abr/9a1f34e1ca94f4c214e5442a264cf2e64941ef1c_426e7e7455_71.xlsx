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ARDALES\Cobranzas\Deudores al cierre de mes\"/>
    </mc:Choice>
  </mc:AlternateContent>
  <bookViews>
    <workbookView xWindow="0" yWindow="0" windowWidth="23040" windowHeight="7968"/>
  </bookViews>
  <sheets>
    <sheet name="Resumen abril 26" sheetId="1" r:id="rId1"/>
  </sheets>
  <externalReferences>
    <externalReference r:id="rId2"/>
  </externalReferences>
  <definedNames>
    <definedName name="_xlnm._FilterDatabase" localSheetId="0" hidden="1">'Resumen abril 26'!$C$6:$M$6</definedName>
    <definedName name="a" localSheetId="0">#REF!</definedName>
    <definedName name="a">#REF!</definedName>
    <definedName name="_xlnm.Print_Area" localSheetId="0">'Resumen abril 26'!$C$4:$N$63</definedName>
    <definedName name="_xlnm.Database" localSheetId="0">#REF!</definedName>
    <definedName name="_xlnm.Database">#REF!</definedName>
    <definedName name="Condicion">[1]!Tabla2[Condicion]</definedName>
    <definedName name="_xlnm.Print_Titles" localSheetId="0">'Resumen abril 26'!$1:$3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4" i="1" l="1"/>
  <c r="L34" i="1"/>
  <c r="K34" i="1"/>
  <c r="J34" i="1"/>
  <c r="I34" i="1"/>
  <c r="H34" i="1"/>
  <c r="G34" i="1"/>
  <c r="F34" i="1"/>
  <c r="N33" i="1"/>
  <c r="N32" i="1"/>
  <c r="N31" i="1"/>
  <c r="N29" i="1"/>
  <c r="N28" i="1"/>
  <c r="N26" i="1"/>
  <c r="N30" i="1"/>
  <c r="N25" i="1"/>
  <c r="N27" i="1"/>
  <c r="N24" i="1"/>
  <c r="N23" i="1"/>
  <c r="N22" i="1"/>
  <c r="N21" i="1"/>
  <c r="N20" i="1"/>
  <c r="N19" i="1"/>
  <c r="N18" i="1"/>
  <c r="N17" i="1"/>
  <c r="N16" i="1"/>
  <c r="N14" i="1"/>
  <c r="N13" i="1"/>
  <c r="N12" i="1"/>
  <c r="N11" i="1"/>
  <c r="N10" i="1"/>
  <c r="N9" i="1"/>
  <c r="N15" i="1"/>
  <c r="N8" i="1"/>
  <c r="N7" i="1"/>
  <c r="N34" i="1" s="1"/>
  <c r="G15" i="1"/>
</calcChain>
</file>

<file path=xl/sharedStrings.xml><?xml version="1.0" encoding="utf-8"?>
<sst xmlns="http://schemas.openxmlformats.org/spreadsheetml/2006/main" count="194" uniqueCount="190">
  <si>
    <t>DEUDORES AL DIA  30 de abril 2026</t>
  </si>
  <si>
    <t>DEUDORES   DE EXPENSAS NO JUDICIALIZADOS</t>
  </si>
  <si>
    <t>SOCIO</t>
  </si>
  <si>
    <t>UF</t>
  </si>
  <si>
    <t>APELLIDO Y NOMBRE</t>
  </si>
  <si>
    <t>Abril 26</t>
  </si>
  <si>
    <t>Marzo 26</t>
  </si>
  <si>
    <t>Febrero26</t>
  </si>
  <si>
    <t>Enero 2026</t>
  </si>
  <si>
    <t>Diciembre 25</t>
  </si>
  <si>
    <t>Noviembre 25</t>
  </si>
  <si>
    <t>Octubre 25</t>
  </si>
  <si>
    <t>Deuda Per. Anteriores</t>
  </si>
  <si>
    <t>Total Deuda</t>
  </si>
  <si>
    <t>01931-00</t>
  </si>
  <si>
    <t>536</t>
  </si>
  <si>
    <t>BERARDI Jorge(SUCESION)</t>
  </si>
  <si>
    <t>00808-00</t>
  </si>
  <si>
    <t>442 443</t>
  </si>
  <si>
    <t>DESCHERES Marta Monica Martinez</t>
  </si>
  <si>
    <t>01309-00</t>
  </si>
  <si>
    <t>856 857</t>
  </si>
  <si>
    <t>THULUNK S.A</t>
  </si>
  <si>
    <t>00513-00</t>
  </si>
  <si>
    <t>272 273</t>
  </si>
  <si>
    <t>KOLKER Miguel</t>
  </si>
  <si>
    <t>01478-00</t>
  </si>
  <si>
    <t>284 285 286</t>
  </si>
  <si>
    <t>FORMAGGIO Silvina Andrea</t>
  </si>
  <si>
    <t>01876-00</t>
  </si>
  <si>
    <t>905</t>
  </si>
  <si>
    <t>QUEVEDO Romina Lorena</t>
  </si>
  <si>
    <t>01902-00</t>
  </si>
  <si>
    <t>266 598</t>
  </si>
  <si>
    <t>ALIBERTI María Camila</t>
  </si>
  <si>
    <t>00154-00</t>
  </si>
  <si>
    <t>600</t>
  </si>
  <si>
    <t>LANZA Maximiliano Martin</t>
  </si>
  <si>
    <t>00205-00</t>
  </si>
  <si>
    <t>517</t>
  </si>
  <si>
    <t>CUPELLI Jose Maria ( SUCESION )</t>
  </si>
  <si>
    <t>01862-00</t>
  </si>
  <si>
    <t>767 768</t>
  </si>
  <si>
    <t>LIMONGELLI Eduardo</t>
  </si>
  <si>
    <t>01818-00</t>
  </si>
  <si>
    <t>1133</t>
  </si>
  <si>
    <t>VELOSO Nicolás Ricardo</t>
  </si>
  <si>
    <t>02005-00</t>
  </si>
  <si>
    <t>870 871</t>
  </si>
  <si>
    <t>NINO Ariel Fabián</t>
  </si>
  <si>
    <t>00974-00</t>
  </si>
  <si>
    <t>147</t>
  </si>
  <si>
    <t>DARMUN Sandra Noemi</t>
  </si>
  <si>
    <t>01843-00</t>
  </si>
  <si>
    <t>958</t>
  </si>
  <si>
    <t>FUENTES Andrea Elisa</t>
  </si>
  <si>
    <t>01056-00</t>
  </si>
  <si>
    <t>712</t>
  </si>
  <si>
    <t>FERNANDEZ Juan Manuel</t>
  </si>
  <si>
    <t>01861-00</t>
  </si>
  <si>
    <t>10</t>
  </si>
  <si>
    <t>VAZQUEZ Matías Sol</t>
  </si>
  <si>
    <t>00768-00</t>
  </si>
  <si>
    <t>872</t>
  </si>
  <si>
    <t>BOMARO S.A. BORQUE Alejandro</t>
  </si>
  <si>
    <t>01957-00</t>
  </si>
  <si>
    <t>373</t>
  </si>
  <si>
    <t>ROUZES Manuel</t>
  </si>
  <si>
    <t>01296-00</t>
  </si>
  <si>
    <t>826</t>
  </si>
  <si>
    <t>GONZALEZ Rubén Oscar</t>
  </si>
  <si>
    <t>01578-00</t>
  </si>
  <si>
    <t>840 841</t>
  </si>
  <si>
    <t>GAZZOLO Jose María</t>
  </si>
  <si>
    <t>01901-00</t>
  </si>
  <si>
    <t>1128</t>
  </si>
  <si>
    <t>BUR Felix Ricardo</t>
  </si>
  <si>
    <t>01734-00</t>
  </si>
  <si>
    <t>577</t>
  </si>
  <si>
    <t>RODRIGUEZ Jorge Oscar</t>
  </si>
  <si>
    <t>01334-00</t>
  </si>
  <si>
    <t>721 722</t>
  </si>
  <si>
    <t>BERTOLDI María Sofía</t>
  </si>
  <si>
    <t>01879-00</t>
  </si>
  <si>
    <t>859</t>
  </si>
  <si>
    <t>CANO Laura Valeria</t>
  </si>
  <si>
    <t>01222-00</t>
  </si>
  <si>
    <t>617 619</t>
  </si>
  <si>
    <t>BEINES Alejandra</t>
  </si>
  <si>
    <t>01656-00</t>
  </si>
  <si>
    <t>629 690</t>
  </si>
  <si>
    <t>ALVAREZ Fernanda</t>
  </si>
  <si>
    <t>01667-00</t>
  </si>
  <si>
    <t>1015</t>
  </si>
  <si>
    <t>REYES Rodrigo Angel</t>
  </si>
  <si>
    <t>Total</t>
  </si>
  <si>
    <t>DEUDORES   JUDICIALIZADOS</t>
  </si>
  <si>
    <t xml:space="preserve"> </t>
  </si>
  <si>
    <t>LOTE</t>
  </si>
  <si>
    <t>Expediente</t>
  </si>
  <si>
    <t>Juzgado</t>
  </si>
  <si>
    <t>00919-00</t>
  </si>
  <si>
    <t>339 340</t>
  </si>
  <si>
    <t>COCUZZA Salvador</t>
  </si>
  <si>
    <t>84234/11</t>
  </si>
  <si>
    <t>00442-00</t>
  </si>
  <si>
    <t>1057 1058</t>
  </si>
  <si>
    <t>SCHINDLER Roberto Federico</t>
  </si>
  <si>
    <t>41966/2021</t>
  </si>
  <si>
    <t>01378-00</t>
  </si>
  <si>
    <t>585 586</t>
  </si>
  <si>
    <t>PETLIUK Leonardo Samuel</t>
  </si>
  <si>
    <t>41762/2014</t>
  </si>
  <si>
    <t>01255-00</t>
  </si>
  <si>
    <t>72 73</t>
  </si>
  <si>
    <t>GUADAMAR SA AMODIO Marcelo Daniel</t>
  </si>
  <si>
    <t>099490/2025</t>
  </si>
  <si>
    <t>01903-00</t>
  </si>
  <si>
    <t>1135</t>
  </si>
  <si>
    <t>GONZALEZ Cynthia Geraldina</t>
  </si>
  <si>
    <t>70789/2025</t>
  </si>
  <si>
    <t>01780-00</t>
  </si>
  <si>
    <t>453</t>
  </si>
  <si>
    <t>CASSARA Vanina Mariana</t>
  </si>
  <si>
    <t>104866/2021</t>
  </si>
  <si>
    <t>01203-00</t>
  </si>
  <si>
    <t>1073</t>
  </si>
  <si>
    <t>DI NUZZO Mario Héctor</t>
  </si>
  <si>
    <t>37702/2014</t>
  </si>
  <si>
    <t>01562-00</t>
  </si>
  <si>
    <t>492</t>
  </si>
  <si>
    <t>TORO Beatriz Maria</t>
  </si>
  <si>
    <t>3384/2024</t>
  </si>
  <si>
    <t>01607-00</t>
  </si>
  <si>
    <t>686</t>
  </si>
  <si>
    <t xml:space="preserve">CHEILER S.A </t>
  </si>
  <si>
    <t>078647/2024</t>
  </si>
  <si>
    <t>00783-00</t>
  </si>
  <si>
    <t>381</t>
  </si>
  <si>
    <t>DEL VISO Miguel Angel</t>
  </si>
  <si>
    <t>93961/2021</t>
  </si>
  <si>
    <t>01726-00</t>
  </si>
  <si>
    <t>567</t>
  </si>
  <si>
    <t>DALPONTE Gustavo Rubén</t>
  </si>
  <si>
    <t>55607/2022</t>
  </si>
  <si>
    <t>01546-00</t>
  </si>
  <si>
    <t>1132</t>
  </si>
  <si>
    <t>RECUPERO Cecilia Jahel</t>
  </si>
  <si>
    <t>72017/11</t>
  </si>
  <si>
    <t>00457-00</t>
  </si>
  <si>
    <t>667 668</t>
  </si>
  <si>
    <t>CHEILER SA</t>
  </si>
  <si>
    <t>46105/2016</t>
  </si>
  <si>
    <t>00866-00</t>
  </si>
  <si>
    <t>1078</t>
  </si>
  <si>
    <t>FARESI Renso ( UF SUBASTADA )</t>
  </si>
  <si>
    <t>42079/2021</t>
  </si>
  <si>
    <t>00140-00</t>
  </si>
  <si>
    <t>630</t>
  </si>
  <si>
    <t>CHEILER S.A</t>
  </si>
  <si>
    <t>´97782/2023</t>
  </si>
  <si>
    <t>01417-00</t>
  </si>
  <si>
    <t>425</t>
  </si>
  <si>
    <t>IACARUSO Domingo Raul</t>
  </si>
  <si>
    <t>41959/2021</t>
  </si>
  <si>
    <t>00141-00</t>
  </si>
  <si>
    <t>735</t>
  </si>
  <si>
    <t>CONFORTI Ricardo (SUCESION)</t>
  </si>
  <si>
    <t>099488/2025</t>
  </si>
  <si>
    <t>01223-00</t>
  </si>
  <si>
    <t>1122</t>
  </si>
  <si>
    <t>HORGAN Fernando</t>
  </si>
  <si>
    <t>45646/2025</t>
  </si>
  <si>
    <t>00029-00</t>
  </si>
  <si>
    <t>621</t>
  </si>
  <si>
    <t xml:space="preserve">CHEILER SA </t>
  </si>
  <si>
    <t>078685/2024</t>
  </si>
  <si>
    <t>00991-00</t>
  </si>
  <si>
    <t>378</t>
  </si>
  <si>
    <t>DONNINI Fabián Sebastián</t>
  </si>
  <si>
    <t>15651/2025</t>
  </si>
  <si>
    <t>00721-00</t>
  </si>
  <si>
    <t>172</t>
  </si>
  <si>
    <t>ZYGIER Boris</t>
  </si>
  <si>
    <t>099480/2025</t>
  </si>
  <si>
    <t>76000-00</t>
  </si>
  <si>
    <t xml:space="preserve">BRAVO Silvia Gisela </t>
  </si>
  <si>
    <t>76001-00</t>
  </si>
  <si>
    <t>MOLINA Jimena Melany</t>
  </si>
  <si>
    <t>Total deuda de expensas judicializada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</si>
</sst>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5" tint="-0.249977111117893"/>
      </top>
      <bottom style="medium">
        <color indexed="64"/>
      </bottom>
      <diagonal/>
    </border>
    <border>
      <left/>
      <right/>
      <top style="thin">
        <color theme="5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5" tint="-0.24997711111789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164" fontId="0" fillId="0" borderId="0" xfId="0" applyNumberFormat="1"/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165" fontId="4" fillId="0" borderId="6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/>
    <xf numFmtId="165" fontId="4" fillId="0" borderId="0" xfId="0" applyNumberFormat="1" applyFont="1" applyFill="1" applyBorder="1" applyAlignment="1">
      <alignment horizontal="center"/>
    </xf>
    <xf numFmtId="165" fontId="4" fillId="0" borderId="8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/>
    <xf numFmtId="165" fontId="4" fillId="0" borderId="10" xfId="0" applyNumberFormat="1" applyFont="1" applyFill="1" applyBorder="1" applyAlignment="1">
      <alignment horizontal="center"/>
    </xf>
    <xf numFmtId="165" fontId="4" fillId="0" borderId="11" xfId="0" applyNumberFormat="1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 vertical="center" wrapText="1"/>
    </xf>
    <xf numFmtId="164" fontId="4" fillId="0" borderId="12" xfId="0" applyNumberFormat="1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13" xfId="0" applyFont="1" applyBorder="1"/>
    <xf numFmtId="164" fontId="1" fillId="0" borderId="13" xfId="0" applyNumberFormat="1" applyFont="1" applyBorder="1" applyAlignment="1">
      <alignment horizontal="center"/>
    </xf>
    <xf numFmtId="0" fontId="1" fillId="0" borderId="13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164" fontId="1" fillId="0" borderId="14" xfId="0" applyNumberFormat="1" applyFont="1" applyBorder="1" applyAlignment="1">
      <alignment horizontal="center"/>
    </xf>
    <xf numFmtId="0" fontId="1" fillId="0" borderId="1" xfId="0" applyFont="1" applyFill="1" applyBorder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/>
    <xf numFmtId="164" fontId="1" fillId="0" borderId="12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0" fontId="4" fillId="0" borderId="15" xfId="0" applyFont="1" applyFill="1" applyBorder="1" applyAlignment="1">
      <alignment horizontal="center"/>
    </xf>
    <xf numFmtId="0" fontId="4" fillId="0" borderId="16" xfId="0" applyFont="1" applyFill="1" applyBorder="1" applyAlignment="1">
      <alignment horizontal="center"/>
    </xf>
    <xf numFmtId="0" fontId="4" fillId="0" borderId="16" xfId="0" applyFont="1" applyFill="1" applyBorder="1"/>
    <xf numFmtId="165" fontId="4" fillId="0" borderId="16" xfId="0" applyNumberFormat="1" applyFont="1" applyFill="1" applyBorder="1" applyAlignment="1">
      <alignment horizontal="center"/>
    </xf>
    <xf numFmtId="165" fontId="4" fillId="0" borderId="17" xfId="0" applyNumberFormat="1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8" xfId="0" applyFont="1" applyBorder="1"/>
    <xf numFmtId="164" fontId="1" fillId="0" borderId="18" xfId="0" applyNumberFormat="1" applyFont="1" applyBorder="1" applyAlignment="1">
      <alignment horizontal="center"/>
    </xf>
    <xf numFmtId="164" fontId="1" fillId="0" borderId="18" xfId="0" quotePrefix="1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wnloads/Bancos%20y%20detalle%20pago%20a%20proveedores%2013%2004%202020%20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 BANCARIO"/>
      <sheetName val="Listado de Cheques emitidos"/>
      <sheetName val="Detalle pago Proveedores"/>
      <sheetName val="Datos Bancarios"/>
      <sheetName val="Detalle ch librados"/>
      <sheetName val="Resumen"/>
      <sheetName val="Deudores"/>
      <sheetName val="Tablas de Informacion detallada"/>
      <sheetName val="Tablas de Informacion"/>
      <sheetName val="Referencias"/>
      <sheetName val="Bancos y detalle pago a prove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68"/>
  <sheetViews>
    <sheetView tabSelected="1" topLeftCell="C7" workbookViewId="0">
      <selection activeCell="J18" sqref="J18"/>
    </sheetView>
  </sheetViews>
  <sheetFormatPr baseColWidth="10" defaultColWidth="11.44140625" defaultRowHeight="14.4" x14ac:dyDescent="0.3"/>
  <cols>
    <col min="4" max="4" width="11.44140625" style="2"/>
    <col min="5" max="5" width="35.21875" customWidth="1"/>
    <col min="6" max="6" width="17.21875" customWidth="1"/>
    <col min="7" max="7" width="16.109375" customWidth="1"/>
    <col min="8" max="8" width="14.44140625" style="2" customWidth="1"/>
    <col min="9" max="9" width="17.109375" style="2" customWidth="1"/>
    <col min="10" max="10" width="13.5546875" customWidth="1"/>
    <col min="11" max="11" width="13.109375" customWidth="1"/>
  </cols>
  <sheetData>
    <row r="1" spans="3:17" ht="6" customHeight="1" x14ac:dyDescent="0.35">
      <c r="C1" s="1"/>
      <c r="D1" s="1"/>
      <c r="E1" s="1"/>
      <c r="F1" s="1"/>
      <c r="G1" s="1"/>
    </row>
    <row r="2" spans="3:17" ht="21" x14ac:dyDescent="0.4">
      <c r="C2" s="44" t="s">
        <v>0</v>
      </c>
      <c r="D2" s="45"/>
      <c r="E2" s="45"/>
      <c r="F2" s="45"/>
      <c r="G2" s="45"/>
      <c r="H2" s="45"/>
      <c r="I2" s="45"/>
      <c r="J2" s="45"/>
      <c r="K2" s="45"/>
      <c r="L2" s="45"/>
      <c r="M2" s="46"/>
    </row>
    <row r="3" spans="3:17" ht="9.6" customHeight="1" x14ac:dyDescent="0.4">
      <c r="C3" s="3"/>
      <c r="D3" s="3"/>
      <c r="E3" s="3"/>
      <c r="F3" s="3"/>
      <c r="G3" s="3"/>
      <c r="H3" s="3"/>
      <c r="I3" s="3"/>
    </row>
    <row r="4" spans="3:17" ht="18" x14ac:dyDescent="0.35">
      <c r="C4" s="47" t="s">
        <v>1</v>
      </c>
      <c r="D4" s="48"/>
      <c r="E4" s="48"/>
      <c r="F4" s="48"/>
      <c r="G4" s="48"/>
      <c r="H4" s="48"/>
      <c r="I4" s="48"/>
      <c r="J4" s="48"/>
      <c r="K4" s="48"/>
      <c r="L4" s="48"/>
      <c r="M4" s="49"/>
    </row>
    <row r="5" spans="3:17" ht="8.4" customHeight="1" thickBot="1" x14ac:dyDescent="0.35">
      <c r="G5" s="4"/>
    </row>
    <row r="6" spans="3:17" ht="28.8" x14ac:dyDescent="0.3">
      <c r="C6" s="5" t="s">
        <v>2</v>
      </c>
      <c r="D6" s="6" t="s">
        <v>3</v>
      </c>
      <c r="E6" s="6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12</v>
      </c>
      <c r="N6" s="8" t="s">
        <v>13</v>
      </c>
    </row>
    <row r="7" spans="3:17" x14ac:dyDescent="0.3">
      <c r="C7" s="9" t="s">
        <v>14</v>
      </c>
      <c r="D7" s="10" t="s">
        <v>15</v>
      </c>
      <c r="E7" s="11" t="s">
        <v>16</v>
      </c>
      <c r="F7" s="12">
        <v>1366897.28</v>
      </c>
      <c r="G7" s="12">
        <v>1173741.01</v>
      </c>
      <c r="H7" s="12">
        <v>1125689.3899999999</v>
      </c>
      <c r="I7" s="12">
        <v>2027320.01</v>
      </c>
      <c r="J7" s="12">
        <v>843427.29</v>
      </c>
      <c r="K7" s="12">
        <v>1418416.76</v>
      </c>
      <c r="L7" s="12">
        <v>1355534.99</v>
      </c>
      <c r="M7" s="12">
        <v>2195073.08</v>
      </c>
      <c r="N7" s="13">
        <f>SUM(F7:M7)</f>
        <v>11506099.809999999</v>
      </c>
    </row>
    <row r="8" spans="3:17" x14ac:dyDescent="0.3">
      <c r="C8" s="34" t="s">
        <v>17</v>
      </c>
      <c r="D8" s="35" t="s">
        <v>18</v>
      </c>
      <c r="E8" s="36" t="s">
        <v>19</v>
      </c>
      <c r="F8" s="37">
        <v>1877532.06</v>
      </c>
      <c r="G8" s="37">
        <v>1721133.99</v>
      </c>
      <c r="H8" s="37">
        <v>1690113.56</v>
      </c>
      <c r="I8" s="37">
        <v>1682337.76</v>
      </c>
      <c r="J8" s="37">
        <v>1545494.51</v>
      </c>
      <c r="K8" s="37">
        <v>1452387.08</v>
      </c>
      <c r="L8" s="37">
        <v>344774.18</v>
      </c>
      <c r="M8" s="37">
        <v>0</v>
      </c>
      <c r="N8" s="38">
        <f>SUM(F8:M8)</f>
        <v>10313773.139999999</v>
      </c>
    </row>
    <row r="9" spans="3:17" x14ac:dyDescent="0.3">
      <c r="C9" s="34" t="s">
        <v>23</v>
      </c>
      <c r="D9" s="35" t="s">
        <v>24</v>
      </c>
      <c r="E9" s="36" t="s">
        <v>25</v>
      </c>
      <c r="F9" s="37">
        <v>1785673.75</v>
      </c>
      <c r="G9" s="37">
        <v>1635729.8</v>
      </c>
      <c r="H9" s="37">
        <v>1585035.03</v>
      </c>
      <c r="I9" s="37">
        <v>1501025.46</v>
      </c>
      <c r="J9" s="37">
        <v>893394.17</v>
      </c>
      <c r="K9" s="37">
        <v>0</v>
      </c>
      <c r="L9" s="37">
        <v>0</v>
      </c>
      <c r="M9" s="37">
        <v>0</v>
      </c>
      <c r="N9" s="38">
        <f>SUM(F9:M9)</f>
        <v>7400858.21</v>
      </c>
      <c r="O9" s="12"/>
      <c r="P9" s="51"/>
      <c r="Q9" s="51"/>
    </row>
    <row r="10" spans="3:17" x14ac:dyDescent="0.3">
      <c r="C10" s="34" t="s">
        <v>26</v>
      </c>
      <c r="D10" s="35" t="s">
        <v>27</v>
      </c>
      <c r="E10" s="36" t="s">
        <v>28</v>
      </c>
      <c r="F10" s="37">
        <v>3881639.5</v>
      </c>
      <c r="G10" s="37">
        <v>1563756.65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8">
        <f>SUM(F10:M10)</f>
        <v>5445396.1500000004</v>
      </c>
    </row>
    <row r="11" spans="3:17" x14ac:dyDescent="0.3">
      <c r="C11" s="34" t="s">
        <v>29</v>
      </c>
      <c r="D11" s="35" t="s">
        <v>30</v>
      </c>
      <c r="E11" s="36" t="s">
        <v>31</v>
      </c>
      <c r="F11" s="37">
        <v>1024594.89</v>
      </c>
      <c r="G11" s="37">
        <v>978375.09</v>
      </c>
      <c r="H11" s="37">
        <v>957955.17</v>
      </c>
      <c r="I11" s="37">
        <v>851175.19</v>
      </c>
      <c r="J11" s="37">
        <v>723022.43</v>
      </c>
      <c r="K11" s="37">
        <v>668461.26</v>
      </c>
      <c r="L11" s="37">
        <v>0</v>
      </c>
      <c r="M11" s="37">
        <v>0</v>
      </c>
      <c r="N11" s="38">
        <f>SUM(F11:M11)</f>
        <v>5203584.0299999993</v>
      </c>
    </row>
    <row r="12" spans="3:17" x14ac:dyDescent="0.3">
      <c r="C12" s="34" t="s">
        <v>32</v>
      </c>
      <c r="D12" s="35" t="s">
        <v>33</v>
      </c>
      <c r="E12" s="36" t="s">
        <v>34</v>
      </c>
      <c r="F12" s="37">
        <v>2004734.91</v>
      </c>
      <c r="G12" s="37">
        <v>1825365.15</v>
      </c>
      <c r="H12" s="37">
        <v>843729.46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8">
        <f>SUM(F12:M12)</f>
        <v>4673829.5199999996</v>
      </c>
    </row>
    <row r="13" spans="3:17" x14ac:dyDescent="0.3">
      <c r="C13" s="34" t="s">
        <v>35</v>
      </c>
      <c r="D13" s="35" t="s">
        <v>36</v>
      </c>
      <c r="E13" s="36" t="s">
        <v>37</v>
      </c>
      <c r="F13" s="37">
        <v>1392058.18</v>
      </c>
      <c r="G13" s="37">
        <v>1433616.34</v>
      </c>
      <c r="H13" s="37">
        <v>1007136.43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8">
        <f>SUM(F13:M13)</f>
        <v>3832810.95</v>
      </c>
    </row>
    <row r="14" spans="3:17" x14ac:dyDescent="0.3">
      <c r="C14" s="34" t="s">
        <v>38</v>
      </c>
      <c r="D14" s="35" t="s">
        <v>39</v>
      </c>
      <c r="E14" s="36" t="s">
        <v>40</v>
      </c>
      <c r="F14" s="37">
        <v>956642.82</v>
      </c>
      <c r="G14" s="37">
        <v>870268.99</v>
      </c>
      <c r="H14" s="37">
        <v>892117.95</v>
      </c>
      <c r="I14" s="37">
        <v>880791.07</v>
      </c>
      <c r="J14" s="37">
        <v>0</v>
      </c>
      <c r="K14" s="37">
        <v>0</v>
      </c>
      <c r="L14" s="37">
        <v>0</v>
      </c>
      <c r="M14" s="37">
        <v>0</v>
      </c>
      <c r="N14" s="38">
        <f>SUM(F14:M14)</f>
        <v>3599820.8299999996</v>
      </c>
    </row>
    <row r="15" spans="3:17" x14ac:dyDescent="0.3">
      <c r="C15" s="34" t="s">
        <v>20</v>
      </c>
      <c r="D15" s="35" t="s">
        <v>21</v>
      </c>
      <c r="E15" s="36" t="s">
        <v>22</v>
      </c>
      <c r="F15" s="37">
        <v>1912566.02</v>
      </c>
      <c r="G15" s="37">
        <f>1752890.43-253936</f>
        <v>1498954.43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8">
        <f>SUM(F15:M15)</f>
        <v>3411520.45</v>
      </c>
    </row>
    <row r="16" spans="3:17" x14ac:dyDescent="0.3">
      <c r="C16" s="34" t="s">
        <v>41</v>
      </c>
      <c r="D16" s="35" t="s">
        <v>42</v>
      </c>
      <c r="E16" s="36" t="s">
        <v>43</v>
      </c>
      <c r="F16" s="37">
        <v>1684834.88</v>
      </c>
      <c r="G16" s="37">
        <v>605851.32999999996</v>
      </c>
      <c r="H16" s="37">
        <v>0</v>
      </c>
      <c r="I16" s="37">
        <v>0</v>
      </c>
      <c r="J16" s="37">
        <v>599127.76</v>
      </c>
      <c r="K16" s="37">
        <v>0</v>
      </c>
      <c r="L16" s="37">
        <v>0</v>
      </c>
      <c r="M16" s="37">
        <v>0</v>
      </c>
      <c r="N16" s="38">
        <f>SUM(F16:M16)</f>
        <v>2889813.9699999997</v>
      </c>
    </row>
    <row r="17" spans="3:14" x14ac:dyDescent="0.3">
      <c r="C17" s="34" t="s">
        <v>44</v>
      </c>
      <c r="D17" s="35" t="s">
        <v>45</v>
      </c>
      <c r="E17" s="36" t="s">
        <v>46</v>
      </c>
      <c r="F17" s="37">
        <v>862942.27</v>
      </c>
      <c r="G17" s="37">
        <v>812669.48</v>
      </c>
      <c r="H17" s="37">
        <v>841170.97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8">
        <f>SUM(F17:M17)</f>
        <v>2516782.7199999997</v>
      </c>
    </row>
    <row r="18" spans="3:14" x14ac:dyDescent="0.3">
      <c r="C18" s="34" t="s">
        <v>47</v>
      </c>
      <c r="D18" s="35" t="s">
        <v>48</v>
      </c>
      <c r="E18" s="36" t="s">
        <v>49</v>
      </c>
      <c r="F18" s="37">
        <v>0</v>
      </c>
      <c r="G18" s="37">
        <v>1239247</v>
      </c>
      <c r="H18" s="37">
        <v>0</v>
      </c>
      <c r="I18" s="37">
        <v>1182646.25</v>
      </c>
      <c r="J18" s="37">
        <v>0</v>
      </c>
      <c r="K18" s="37">
        <v>0</v>
      </c>
      <c r="L18" s="37">
        <v>0</v>
      </c>
      <c r="M18" s="37">
        <v>0</v>
      </c>
      <c r="N18" s="38">
        <f>SUM(F18:M18)</f>
        <v>2421893.25</v>
      </c>
    </row>
    <row r="19" spans="3:14" x14ac:dyDescent="0.3">
      <c r="C19" s="34" t="s">
        <v>50</v>
      </c>
      <c r="D19" s="35" t="s">
        <v>51</v>
      </c>
      <c r="E19" s="36" t="s">
        <v>52</v>
      </c>
      <c r="F19" s="37">
        <v>940413.06</v>
      </c>
      <c r="G19" s="37">
        <v>854435.99</v>
      </c>
      <c r="H19" s="37">
        <v>365035.32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8">
        <f>SUM(F19:M19)</f>
        <v>2159884.37</v>
      </c>
    </row>
    <row r="20" spans="3:14" x14ac:dyDescent="0.3">
      <c r="C20" s="34" t="s">
        <v>53</v>
      </c>
      <c r="D20" s="35" t="s">
        <v>54</v>
      </c>
      <c r="E20" s="36" t="s">
        <v>55</v>
      </c>
      <c r="F20" s="37">
        <v>1182481.0900000001</v>
      </c>
      <c r="G20" s="37">
        <v>937370.06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8">
        <f>SUM(F20:M20)</f>
        <v>2119851.1500000004</v>
      </c>
    </row>
    <row r="21" spans="3:14" x14ac:dyDescent="0.3">
      <c r="C21" s="34" t="s">
        <v>56</v>
      </c>
      <c r="D21" s="35" t="s">
        <v>57</v>
      </c>
      <c r="E21" s="36" t="s">
        <v>58</v>
      </c>
      <c r="F21" s="37">
        <v>1718401.76</v>
      </c>
      <c r="G21" s="37">
        <v>323570.53000000003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8">
        <f>SUM(F21:M21)</f>
        <v>2041972.29</v>
      </c>
    </row>
    <row r="22" spans="3:14" x14ac:dyDescent="0.3">
      <c r="C22" s="34" t="s">
        <v>59</v>
      </c>
      <c r="D22" s="35" t="s">
        <v>60</v>
      </c>
      <c r="E22" s="36" t="s">
        <v>61</v>
      </c>
      <c r="F22" s="37">
        <v>849160</v>
      </c>
      <c r="G22" s="37">
        <v>581580.04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8">
        <f>SUM(F22:M22)</f>
        <v>1430740.04</v>
      </c>
    </row>
    <row r="23" spans="3:14" x14ac:dyDescent="0.3">
      <c r="C23" s="34" t="s">
        <v>62</v>
      </c>
      <c r="D23" s="35" t="s">
        <v>63</v>
      </c>
      <c r="E23" s="36" t="s">
        <v>64</v>
      </c>
      <c r="F23" s="37">
        <v>1081087.31</v>
      </c>
      <c r="G23" s="37">
        <v>238301.19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8">
        <f>SUM(F23:M23)</f>
        <v>1319388.5</v>
      </c>
    </row>
    <row r="24" spans="3:14" x14ac:dyDescent="0.3">
      <c r="C24" s="34" t="s">
        <v>65</v>
      </c>
      <c r="D24" s="35" t="s">
        <v>66</v>
      </c>
      <c r="E24" s="36" t="s">
        <v>67</v>
      </c>
      <c r="F24" s="37">
        <v>1100452.1000000001</v>
      </c>
      <c r="G24" s="37">
        <v>208062.52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8">
        <f>SUM(F24:M24)</f>
        <v>1308514.6200000001</v>
      </c>
    </row>
    <row r="25" spans="3:14" x14ac:dyDescent="0.3">
      <c r="C25" s="34" t="s">
        <v>71</v>
      </c>
      <c r="D25" s="35" t="s">
        <v>72</v>
      </c>
      <c r="E25" s="36" t="s">
        <v>73</v>
      </c>
      <c r="F25" s="37">
        <v>1134382.68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8">
        <f>SUM(F25:M25)</f>
        <v>1134382.68</v>
      </c>
    </row>
    <row r="26" spans="3:14" x14ac:dyDescent="0.3">
      <c r="C26" s="34" t="s">
        <v>77</v>
      </c>
      <c r="D26" s="35" t="s">
        <v>78</v>
      </c>
      <c r="E26" s="36" t="s">
        <v>79</v>
      </c>
      <c r="F26" s="37">
        <v>893273.46</v>
      </c>
      <c r="G26" s="37">
        <v>160148.70000000001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8">
        <f>SUM(F26:M26)</f>
        <v>1053422.1599999999</v>
      </c>
    </row>
    <row r="27" spans="3:14" x14ac:dyDescent="0.3">
      <c r="C27" s="34" t="s">
        <v>68</v>
      </c>
      <c r="D27" s="35" t="s">
        <v>69</v>
      </c>
      <c r="E27" s="36" t="s">
        <v>70</v>
      </c>
      <c r="F27" s="37">
        <v>1009031.6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8">
        <f>SUM(F27:M27)</f>
        <v>1009031.6</v>
      </c>
    </row>
    <row r="28" spans="3:14" x14ac:dyDescent="0.3">
      <c r="C28" s="34" t="s">
        <v>80</v>
      </c>
      <c r="D28" s="35" t="s">
        <v>81</v>
      </c>
      <c r="E28" s="36" t="s">
        <v>82</v>
      </c>
      <c r="F28" s="37">
        <v>969377.52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8">
        <f>SUM(F28:M28)</f>
        <v>969377.52</v>
      </c>
    </row>
    <row r="29" spans="3:14" x14ac:dyDescent="0.3">
      <c r="C29" s="34" t="s">
        <v>83</v>
      </c>
      <c r="D29" s="35" t="s">
        <v>84</v>
      </c>
      <c r="E29" s="36" t="s">
        <v>85</v>
      </c>
      <c r="F29" s="37">
        <v>908686.02</v>
      </c>
      <c r="G29" s="37">
        <v>32727.200000000001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8">
        <f>SUM(F29:M29)</f>
        <v>941413.22</v>
      </c>
    </row>
    <row r="30" spans="3:14" x14ac:dyDescent="0.3">
      <c r="C30" s="34" t="s">
        <v>74</v>
      </c>
      <c r="D30" s="35" t="s">
        <v>75</v>
      </c>
      <c r="E30" s="36" t="s">
        <v>76</v>
      </c>
      <c r="F30" s="37">
        <v>632967.51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8">
        <f>SUM(F30:M30)</f>
        <v>632967.51</v>
      </c>
    </row>
    <row r="31" spans="3:14" x14ac:dyDescent="0.3">
      <c r="C31" s="34" t="s">
        <v>86</v>
      </c>
      <c r="D31" s="35" t="s">
        <v>87</v>
      </c>
      <c r="E31" s="36" t="s">
        <v>88</v>
      </c>
      <c r="F31" s="37">
        <v>351936.78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8">
        <f>SUM(F31:M31)</f>
        <v>351936.78</v>
      </c>
    </row>
    <row r="32" spans="3:14" x14ac:dyDescent="0.3">
      <c r="C32" s="34" t="s">
        <v>89</v>
      </c>
      <c r="D32" s="35" t="s">
        <v>90</v>
      </c>
      <c r="E32" s="36" t="s">
        <v>91</v>
      </c>
      <c r="F32" s="37">
        <v>267335.59000000003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8">
        <f>SUM(F32:M32)</f>
        <v>267335.59000000003</v>
      </c>
    </row>
    <row r="33" spans="3:14" x14ac:dyDescent="0.3">
      <c r="C33" s="9" t="s">
        <v>92</v>
      </c>
      <c r="D33" s="14" t="s">
        <v>93</v>
      </c>
      <c r="E33" s="11" t="s">
        <v>94</v>
      </c>
      <c r="F33" s="12">
        <v>104193.79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>
        <f>SUM(F33:M33)</f>
        <v>104193.79</v>
      </c>
    </row>
    <row r="34" spans="3:14" ht="15" thickBot="1" x14ac:dyDescent="0.35">
      <c r="C34" s="15" t="s">
        <v>95</v>
      </c>
      <c r="D34" s="16"/>
      <c r="E34" s="16">
        <v>27</v>
      </c>
      <c r="F34" s="17">
        <f>SUM(F7:F33)</f>
        <v>31893296.830000002</v>
      </c>
      <c r="G34" s="17">
        <f t="shared" ref="G34:N34" si="0">SUM(G7:G33)</f>
        <v>18694905.489999998</v>
      </c>
      <c r="H34" s="17">
        <f t="shared" si="0"/>
        <v>9307983.2800000012</v>
      </c>
      <c r="I34" s="17">
        <f t="shared" si="0"/>
        <v>8125295.7400000002</v>
      </c>
      <c r="J34" s="17">
        <f t="shared" si="0"/>
        <v>4604466.16</v>
      </c>
      <c r="K34" s="17">
        <f t="shared" si="0"/>
        <v>3539265.0999999996</v>
      </c>
      <c r="L34" s="17">
        <f t="shared" si="0"/>
        <v>1700309.17</v>
      </c>
      <c r="M34" s="17">
        <f t="shared" si="0"/>
        <v>2195073.08</v>
      </c>
      <c r="N34" s="18">
        <f t="shared" si="0"/>
        <v>80060594.850000024</v>
      </c>
    </row>
    <row r="35" spans="3:14" ht="9" customHeight="1" x14ac:dyDescent="0.4">
      <c r="C35" s="3"/>
      <c r="D35" s="3"/>
      <c r="E35" s="3"/>
      <c r="F35" s="3"/>
      <c r="G35" s="3"/>
      <c r="H35" s="3"/>
      <c r="I35" s="3"/>
    </row>
    <row r="36" spans="3:14" ht="18" x14ac:dyDescent="0.35">
      <c r="C36" s="50" t="s">
        <v>96</v>
      </c>
      <c r="D36" s="50"/>
      <c r="E36" s="50"/>
      <c r="F36" s="50"/>
      <c r="G36" s="50"/>
      <c r="H36" s="50"/>
      <c r="I36" s="50"/>
    </row>
    <row r="37" spans="3:14" x14ac:dyDescent="0.3">
      <c r="C37" t="s">
        <v>97</v>
      </c>
      <c r="G37" s="4"/>
    </row>
    <row r="38" spans="3:14" x14ac:dyDescent="0.3">
      <c r="C38" s="19" t="s">
        <v>2</v>
      </c>
      <c r="D38" s="19" t="s">
        <v>98</v>
      </c>
      <c r="E38" s="19" t="s">
        <v>4</v>
      </c>
      <c r="F38" s="19"/>
      <c r="G38" s="20" t="s">
        <v>13</v>
      </c>
      <c r="H38" s="20" t="s">
        <v>99</v>
      </c>
      <c r="I38" s="20" t="s">
        <v>100</v>
      </c>
    </row>
    <row r="39" spans="3:14" x14ac:dyDescent="0.3">
      <c r="C39" s="21" t="s">
        <v>101</v>
      </c>
      <c r="D39" s="21" t="s">
        <v>102</v>
      </c>
      <c r="E39" s="22" t="s">
        <v>103</v>
      </c>
      <c r="F39" s="22"/>
      <c r="G39" s="23">
        <v>38703777.549999997</v>
      </c>
      <c r="H39" s="24" t="s">
        <v>104</v>
      </c>
      <c r="I39" s="24">
        <v>37</v>
      </c>
    </row>
    <row r="40" spans="3:14" x14ac:dyDescent="0.3">
      <c r="C40" s="39" t="s">
        <v>105</v>
      </c>
      <c r="D40" s="39" t="s">
        <v>106</v>
      </c>
      <c r="E40" s="40" t="s">
        <v>107</v>
      </c>
      <c r="F40" s="40"/>
      <c r="G40" s="41">
        <v>37383309.159999996</v>
      </c>
      <c r="H40" s="39" t="s">
        <v>108</v>
      </c>
      <c r="I40" s="39">
        <v>70</v>
      </c>
    </row>
    <row r="41" spans="3:14" x14ac:dyDescent="0.3">
      <c r="C41" s="39" t="s">
        <v>109</v>
      </c>
      <c r="D41" s="39" t="s">
        <v>110</v>
      </c>
      <c r="E41" s="40" t="s">
        <v>111</v>
      </c>
      <c r="F41" s="40"/>
      <c r="G41" s="41">
        <v>35226360.780000001</v>
      </c>
      <c r="H41" s="41" t="s">
        <v>112</v>
      </c>
      <c r="I41" s="39">
        <v>58</v>
      </c>
    </row>
    <row r="42" spans="3:14" x14ac:dyDescent="0.3">
      <c r="C42" s="39" t="s">
        <v>113</v>
      </c>
      <c r="D42" s="39" t="s">
        <v>114</v>
      </c>
      <c r="E42" s="40" t="s">
        <v>115</v>
      </c>
      <c r="F42" s="40"/>
      <c r="G42" s="41">
        <v>29838689.300000001</v>
      </c>
      <c r="H42" s="41" t="s">
        <v>116</v>
      </c>
      <c r="I42" s="39">
        <v>30</v>
      </c>
    </row>
    <row r="43" spans="3:14" x14ac:dyDescent="0.3">
      <c r="C43" s="39" t="s">
        <v>117</v>
      </c>
      <c r="D43" s="39" t="s">
        <v>118</v>
      </c>
      <c r="E43" s="40" t="s">
        <v>119</v>
      </c>
      <c r="F43" s="40"/>
      <c r="G43" s="41">
        <v>31459216.609999999</v>
      </c>
      <c r="H43" s="39" t="s">
        <v>120</v>
      </c>
      <c r="I43" s="39">
        <v>30</v>
      </c>
    </row>
    <row r="44" spans="3:14" x14ac:dyDescent="0.3">
      <c r="C44" s="39" t="s">
        <v>121</v>
      </c>
      <c r="D44" s="39" t="s">
        <v>122</v>
      </c>
      <c r="E44" s="40" t="s">
        <v>123</v>
      </c>
      <c r="F44" s="40"/>
      <c r="G44" s="41">
        <v>25480627.780000001</v>
      </c>
      <c r="H44" s="39" t="s">
        <v>124</v>
      </c>
      <c r="I44" s="39">
        <v>97</v>
      </c>
    </row>
    <row r="45" spans="3:14" x14ac:dyDescent="0.3">
      <c r="C45" s="39" t="s">
        <v>125</v>
      </c>
      <c r="D45" s="39" t="s">
        <v>126</v>
      </c>
      <c r="E45" s="40" t="s">
        <v>127</v>
      </c>
      <c r="F45" s="40"/>
      <c r="G45" s="41">
        <v>24728178.170000002</v>
      </c>
      <c r="H45" s="42" t="s">
        <v>128</v>
      </c>
      <c r="I45" s="39">
        <v>73</v>
      </c>
    </row>
    <row r="46" spans="3:14" x14ac:dyDescent="0.3">
      <c r="C46" s="39" t="s">
        <v>129</v>
      </c>
      <c r="D46" s="39" t="s">
        <v>130</v>
      </c>
      <c r="E46" s="40" t="s">
        <v>131</v>
      </c>
      <c r="F46" s="40"/>
      <c r="G46" s="41">
        <v>21963822.669999998</v>
      </c>
      <c r="H46" s="39" t="s">
        <v>132</v>
      </c>
      <c r="I46" s="39">
        <v>13</v>
      </c>
    </row>
    <row r="47" spans="3:14" x14ac:dyDescent="0.3">
      <c r="C47" s="39" t="s">
        <v>133</v>
      </c>
      <c r="D47" s="39" t="s">
        <v>134</v>
      </c>
      <c r="E47" s="40" t="s">
        <v>135</v>
      </c>
      <c r="F47" s="40"/>
      <c r="G47" s="41">
        <v>20782117.07</v>
      </c>
      <c r="H47" s="39" t="s">
        <v>136</v>
      </c>
      <c r="I47" s="39">
        <v>30</v>
      </c>
    </row>
    <row r="48" spans="3:14" x14ac:dyDescent="0.3">
      <c r="C48" s="39" t="s">
        <v>137</v>
      </c>
      <c r="D48" s="39" t="s">
        <v>138</v>
      </c>
      <c r="E48" s="40" t="s">
        <v>139</v>
      </c>
      <c r="F48" s="40"/>
      <c r="G48" s="41">
        <v>20397147.329999998</v>
      </c>
      <c r="H48" s="41" t="s">
        <v>140</v>
      </c>
      <c r="I48" s="39">
        <v>98</v>
      </c>
    </row>
    <row r="49" spans="1:9" x14ac:dyDescent="0.3">
      <c r="C49" s="39" t="s">
        <v>141</v>
      </c>
      <c r="D49" s="39" t="s">
        <v>142</v>
      </c>
      <c r="E49" s="40" t="s">
        <v>143</v>
      </c>
      <c r="F49" s="40"/>
      <c r="G49" s="41">
        <v>20868858.359999999</v>
      </c>
      <c r="H49" s="41" t="s">
        <v>144</v>
      </c>
      <c r="I49" s="39">
        <v>97</v>
      </c>
    </row>
    <row r="50" spans="1:9" x14ac:dyDescent="0.3">
      <c r="C50" s="39" t="s">
        <v>145</v>
      </c>
      <c r="D50" s="39" t="s">
        <v>146</v>
      </c>
      <c r="E50" s="40" t="s">
        <v>147</v>
      </c>
      <c r="F50" s="40"/>
      <c r="G50" s="41">
        <v>20595638.329999998</v>
      </c>
      <c r="H50" s="41" t="s">
        <v>148</v>
      </c>
      <c r="I50" s="39">
        <v>29</v>
      </c>
    </row>
    <row r="51" spans="1:9" x14ac:dyDescent="0.3">
      <c r="C51" s="39" t="s">
        <v>149</v>
      </c>
      <c r="D51" s="39" t="s">
        <v>150</v>
      </c>
      <c r="E51" s="40" t="s">
        <v>151</v>
      </c>
      <c r="F51" s="40"/>
      <c r="G51" s="41">
        <v>19275660.450000003</v>
      </c>
      <c r="H51" s="41" t="s">
        <v>152</v>
      </c>
      <c r="I51" s="39">
        <v>32</v>
      </c>
    </row>
    <row r="52" spans="1:9" x14ac:dyDescent="0.3">
      <c r="C52" s="39" t="s">
        <v>153</v>
      </c>
      <c r="D52" s="39" t="s">
        <v>154</v>
      </c>
      <c r="E52" s="40" t="s">
        <v>155</v>
      </c>
      <c r="F52" s="40"/>
      <c r="G52" s="41">
        <v>18873106.050000001</v>
      </c>
      <c r="H52" s="41" t="s">
        <v>156</v>
      </c>
      <c r="I52" s="39">
        <v>15</v>
      </c>
    </row>
    <row r="53" spans="1:9" x14ac:dyDescent="0.3">
      <c r="C53" s="39" t="s">
        <v>157</v>
      </c>
      <c r="D53" s="39" t="s">
        <v>158</v>
      </c>
      <c r="E53" s="40" t="s">
        <v>159</v>
      </c>
      <c r="F53" s="40"/>
      <c r="G53" s="41">
        <v>18258643.300000001</v>
      </c>
      <c r="H53" s="41" t="s">
        <v>160</v>
      </c>
      <c r="I53" s="39">
        <v>100</v>
      </c>
    </row>
    <row r="54" spans="1:9" x14ac:dyDescent="0.3">
      <c r="C54" s="39" t="s">
        <v>161</v>
      </c>
      <c r="D54" s="39" t="s">
        <v>162</v>
      </c>
      <c r="E54" s="40" t="s">
        <v>163</v>
      </c>
      <c r="F54" s="40"/>
      <c r="G54" s="41">
        <v>17699677.050000001</v>
      </c>
      <c r="H54" s="41" t="s">
        <v>164</v>
      </c>
      <c r="I54" s="39">
        <v>30</v>
      </c>
    </row>
    <row r="55" spans="1:9" x14ac:dyDescent="0.3">
      <c r="C55" s="39" t="s">
        <v>165</v>
      </c>
      <c r="D55" s="39" t="s">
        <v>166</v>
      </c>
      <c r="E55" s="40" t="s">
        <v>167</v>
      </c>
      <c r="F55" s="40"/>
      <c r="G55" s="41">
        <v>17771155.800000001</v>
      </c>
      <c r="H55" s="39" t="s">
        <v>168</v>
      </c>
      <c r="I55" s="39">
        <v>43</v>
      </c>
    </row>
    <row r="56" spans="1:9" x14ac:dyDescent="0.3">
      <c r="C56" s="39" t="s">
        <v>169</v>
      </c>
      <c r="D56" s="39" t="s">
        <v>170</v>
      </c>
      <c r="E56" s="40" t="s">
        <v>171</v>
      </c>
      <c r="F56" s="40"/>
      <c r="G56" s="41">
        <v>16778891.210000001</v>
      </c>
      <c r="H56" s="39" t="s">
        <v>172</v>
      </c>
      <c r="I56" s="39">
        <v>104</v>
      </c>
    </row>
    <row r="57" spans="1:9" x14ac:dyDescent="0.3">
      <c r="C57" s="39" t="s">
        <v>173</v>
      </c>
      <c r="D57" s="39" t="s">
        <v>174</v>
      </c>
      <c r="E57" s="40" t="s">
        <v>175</v>
      </c>
      <c r="F57" s="40"/>
      <c r="G57" s="41">
        <v>14397820.02</v>
      </c>
      <c r="H57" s="39" t="s">
        <v>176</v>
      </c>
      <c r="I57" s="39">
        <v>30</v>
      </c>
    </row>
    <row r="58" spans="1:9" x14ac:dyDescent="0.3">
      <c r="C58" s="39" t="s">
        <v>177</v>
      </c>
      <c r="D58" s="39" t="s">
        <v>178</v>
      </c>
      <c r="E58" s="40" t="s">
        <v>179</v>
      </c>
      <c r="F58" s="40"/>
      <c r="G58" s="41">
        <v>14475642.65</v>
      </c>
      <c r="H58" s="41" t="s">
        <v>180</v>
      </c>
      <c r="I58" s="39">
        <v>71</v>
      </c>
    </row>
    <row r="59" spans="1:9" x14ac:dyDescent="0.3">
      <c r="C59" s="39" t="s">
        <v>181</v>
      </c>
      <c r="D59" s="39" t="s">
        <v>182</v>
      </c>
      <c r="E59" s="40" t="s">
        <v>183</v>
      </c>
      <c r="F59" s="40"/>
      <c r="G59" s="41">
        <v>11210830.350000001</v>
      </c>
      <c r="H59" s="42" t="s">
        <v>184</v>
      </c>
      <c r="I59" s="43">
        <v>32</v>
      </c>
    </row>
    <row r="60" spans="1:9" x14ac:dyDescent="0.3">
      <c r="C60" s="39" t="s">
        <v>185</v>
      </c>
      <c r="D60" s="39"/>
      <c r="E60" s="40" t="s">
        <v>186</v>
      </c>
      <c r="F60" s="40"/>
      <c r="G60" s="41">
        <v>3471468.21</v>
      </c>
      <c r="H60" s="41"/>
      <c r="I60" s="39"/>
    </row>
    <row r="61" spans="1:9" x14ac:dyDescent="0.3">
      <c r="C61" s="25" t="s">
        <v>187</v>
      </c>
      <c r="D61" s="25"/>
      <c r="E61" s="26" t="s">
        <v>188</v>
      </c>
      <c r="F61" s="26"/>
      <c r="G61" s="27">
        <v>1542865.82</v>
      </c>
      <c r="H61" s="27"/>
      <c r="I61" s="25"/>
    </row>
    <row r="62" spans="1:9" s="2" customFormat="1" x14ac:dyDescent="0.3">
      <c r="A62"/>
      <c r="B62"/>
      <c r="C62" s="28" t="s">
        <v>189</v>
      </c>
      <c r="D62" s="29"/>
      <c r="E62" s="30"/>
      <c r="F62" s="30"/>
      <c r="G62" s="31">
        <v>481183504.01999992</v>
      </c>
      <c r="H62" s="32"/>
      <c r="I62" s="32"/>
    </row>
    <row r="63" spans="1:9" s="2" customFormat="1" x14ac:dyDescent="0.3">
      <c r="A63"/>
      <c r="B63"/>
      <c r="C63"/>
      <c r="E63"/>
      <c r="F63"/>
      <c r="G63" s="4" t="s">
        <v>97</v>
      </c>
    </row>
    <row r="64" spans="1:9" s="2" customFormat="1" x14ac:dyDescent="0.3">
      <c r="A64"/>
      <c r="B64"/>
    </row>
    <row r="66" spans="1:2" s="33" customFormat="1" x14ac:dyDescent="0.3"/>
    <row r="68" spans="1:2" s="2" customFormat="1" x14ac:dyDescent="0.3">
      <c r="A68"/>
      <c r="B68"/>
    </row>
  </sheetData>
  <autoFilter ref="C6:I6"/>
  <sortState ref="C7:N33">
    <sortCondition descending="1" ref="N7:N33"/>
  </sortState>
  <mergeCells count="3">
    <mergeCell ref="C2:M2"/>
    <mergeCell ref="C4:M4"/>
    <mergeCell ref="C36:I36"/>
  </mergeCells>
  <pageMargins left="0.31496062992125984" right="0.11811023622047245" top="0.74803149606299213" bottom="0.74803149606299213" header="0.31496062992125984" footer="0.31496062992125984"/>
  <pageSetup paperSize="9" scale="75" orientation="landscape" r:id="rId1"/>
  <rowBreaks count="1" manualBreakCount="1">
    <brk id="3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Resumen abril 26</vt:lpstr>
      <vt:lpstr>'Resumen abril 26'!Área_de_impresión</vt:lpstr>
      <vt:lpstr>'Resumen abril 26'!Títulos_a_imprimir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Allegrini</dc:creator>
  <cp:lastModifiedBy>Fabian Allegrini</cp:lastModifiedBy>
  <cp:lastPrinted>2026-05-29T15:03:00Z</cp:lastPrinted>
  <dcterms:created xsi:type="dcterms:W3CDTF">2026-05-29T15:00:22Z</dcterms:created>
  <dcterms:modified xsi:type="dcterms:W3CDTF">2026-05-29T17:43:26Z</dcterms:modified>
</cp:coreProperties>
</file>