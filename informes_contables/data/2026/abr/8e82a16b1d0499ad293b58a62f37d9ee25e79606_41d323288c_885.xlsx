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ARDALES\Resumen gastos financieros\"/>
    </mc:Choice>
  </mc:AlternateContent>
  <bookViews>
    <workbookView xWindow="-108" yWindow="-108" windowWidth="23256" windowHeight="13896"/>
  </bookViews>
  <sheets>
    <sheet name="FINAL CFlow dic 25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'FINAL CFlow dic 25'!$C$28:$G$270</definedName>
    <definedName name="_xlnm.Print_Area" localSheetId="0">'FINAL CFlow dic 25'!$C$8:$G$284</definedName>
    <definedName name="_xlnm.Database" localSheetId="0">#REF!</definedName>
    <definedName name="_xlnm.Database">#REF!</definedName>
    <definedName name="Condicion">[1]!Tabla2[Condicion]</definedName>
    <definedName name="s">[2]Referencias!$B$4:$B$7</definedName>
    <definedName name="ss" localSheetId="0">#REF!</definedName>
    <definedName name="ss">#REF!</definedName>
    <definedName name="_xlnm.Print_Titles" localSheetId="0">'FINAL CFlow dic 25'!$1:$5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2" i="1" l="1"/>
  <c r="F282" i="1"/>
  <c r="G284" i="1" s="1"/>
  <c r="E282" i="1"/>
  <c r="G64" i="1"/>
  <c r="C26" i="1"/>
  <c r="G10" i="1"/>
  <c r="G26" i="1" s="1"/>
  <c r="G272" i="1" s="1"/>
  <c r="G4" i="1" s="1"/>
  <c r="G5" i="1" s="1"/>
</calcChain>
</file>

<file path=xl/sharedStrings.xml><?xml version="1.0" encoding="utf-8"?>
<sst xmlns="http://schemas.openxmlformats.org/spreadsheetml/2006/main" count="298" uniqueCount="276">
  <si>
    <t>CUADRO RESUMEN  abril 26</t>
  </si>
  <si>
    <t>Saldo de Caja al 01/04/2026</t>
  </si>
  <si>
    <t>Superavit / Deficit entre Ingresos &amp; Erogaciones</t>
  </si>
  <si>
    <t>Saldo de Caja al 30/04/2026</t>
  </si>
  <si>
    <t xml:space="preserve"> </t>
  </si>
  <si>
    <t>Detalle de Ingreso de Fondos por diferentes  canales</t>
  </si>
  <si>
    <t>Total Cobranza Bancaria</t>
  </si>
  <si>
    <t>Servicios Pagos Visa</t>
  </si>
  <si>
    <t>Servicios Pagos Mastercard</t>
  </si>
  <si>
    <t>Servicio Pago Mis Cuentas</t>
  </si>
  <si>
    <t>Servicios Pagos Amex</t>
  </si>
  <si>
    <t>Pago Facil</t>
  </si>
  <si>
    <t>Transf de Socios</t>
  </si>
  <si>
    <t>Debito Directo</t>
  </si>
  <si>
    <t>Deposito de Cheques</t>
  </si>
  <si>
    <t>Depositos en Bancos en Efectivo</t>
  </si>
  <si>
    <t>E-Cheq</t>
  </si>
  <si>
    <t>Otros medios de cobro</t>
  </si>
  <si>
    <t>Ingreso por cobranza en efectivo</t>
  </si>
  <si>
    <t>Valores a Depositar</t>
  </si>
  <si>
    <t>Fondos Comunes de Inversion  - Ganancias por Tenencia -Rescate de Fondos</t>
  </si>
  <si>
    <t>Devolucion expensa a socio - pago duplicado</t>
  </si>
  <si>
    <t>Detalle de Egresos Ordinarios por rubros principales</t>
  </si>
  <si>
    <t>Rubro</t>
  </si>
  <si>
    <t>Descripción</t>
  </si>
  <si>
    <t>Emp.</t>
  </si>
  <si>
    <t>Apertura</t>
  </si>
  <si>
    <t>Importe</t>
  </si>
  <si>
    <t>Costo Salarial</t>
  </si>
  <si>
    <t>Salarios netos abril</t>
  </si>
  <si>
    <t>Administracion</t>
  </si>
  <si>
    <t>Dep. Tecnico</t>
  </si>
  <si>
    <t>Deportes</t>
  </si>
  <si>
    <t>Mantenimiento Futbol</t>
  </si>
  <si>
    <t>Mantenimiento General</t>
  </si>
  <si>
    <t>Mantenimiento Golf</t>
  </si>
  <si>
    <t>Mantenimiento Tenis</t>
  </si>
  <si>
    <t>Seguridad</t>
  </si>
  <si>
    <t>Mantenimiento Hípico</t>
  </si>
  <si>
    <t xml:space="preserve"> Actividades Sociales, Institucionales y  de Comunicación</t>
  </si>
  <si>
    <t>Cargas Sociales salarios marzo</t>
  </si>
  <si>
    <t>Adelanto Vacaciones</t>
  </si>
  <si>
    <t xml:space="preserve">Aporte sindical - UTEDYC </t>
  </si>
  <si>
    <t>Total Costo Salarial</t>
  </si>
  <si>
    <t>Servicios</t>
  </si>
  <si>
    <t>Energía Eléctrica - EDEN - Mes de Servicio:  periodo de consumo mes marzo</t>
  </si>
  <si>
    <t>Servicio de Aguas y Cloacas -Copesel (neto retenciones)</t>
  </si>
  <si>
    <t>Servicio de Recolección de residuos . Eco-Uran (neto retenciones)</t>
  </si>
  <si>
    <t>Gas Natural</t>
  </si>
  <si>
    <t>Total Servicios</t>
  </si>
  <si>
    <t>Servicio de Seguridad</t>
  </si>
  <si>
    <t>Servicio de Seguridad - Watchman (neto retenciones) - abono  1ra quinc de febrero</t>
  </si>
  <si>
    <t>Servicio de Seguridad - Watchman (neto retenciones) - abono  2da quinc de febrero</t>
  </si>
  <si>
    <t>Abono Sistema de Control de Velocidad</t>
  </si>
  <si>
    <t>Abono mensual - Sistema de Acceso - Área de Seguridad</t>
  </si>
  <si>
    <t>Servicio de mantenimiento de Camaras de Seguridad</t>
  </si>
  <si>
    <t>Gastos de Mantenimiento alarma perimetral - Área Seguridad</t>
  </si>
  <si>
    <t>Abono Sistema de Control de Camaras y Central de Alarmas.</t>
  </si>
  <si>
    <t>Total Servicio de Seguridad</t>
  </si>
  <si>
    <t>Honorarios y Abonos Generales</t>
  </si>
  <si>
    <t>Abono mantenimiento Red Eléctrica</t>
  </si>
  <si>
    <t>Honorarios Mecànico Mantenimiento General</t>
  </si>
  <si>
    <t>Honorarios Comunicaciones y Desarrollo pagina WEB</t>
  </si>
  <si>
    <t>Honorarios Mantenimiento máquinas</t>
  </si>
  <si>
    <t>Abono mensual - SW de Gestion</t>
  </si>
  <si>
    <t>Honorarios Estudio Contable -  Liquidación de Sueldos</t>
  </si>
  <si>
    <t>Honorarios Estudio de Arquitectura - Control de Obras particulares</t>
  </si>
  <si>
    <t>Service anual  Grupo Electrògeno</t>
  </si>
  <si>
    <t xml:space="preserve">Honorarios Contable e Impositivo - Estudio Guillermo Collinet </t>
  </si>
  <si>
    <t>Honorarios Guardavidas</t>
  </si>
  <si>
    <t>Honorarios Ing. R. Udaeta - Áreas Golf &amp; Futbol</t>
  </si>
  <si>
    <t>Federacion Argentina de Clubes de Campo</t>
  </si>
  <si>
    <t>Abono mensual - aplicación Simple Solutions - Mes Febrero</t>
  </si>
  <si>
    <t>Abono mensual - aplicación Simple Solutions - Mes Marzo</t>
  </si>
  <si>
    <t>Honorarios emprea Wartum - mes febrero</t>
  </si>
  <si>
    <t>Honorarios emprea Wartum - mes marzo</t>
  </si>
  <si>
    <t>Honorarios Estudio de Abogados -  Laboral</t>
  </si>
  <si>
    <t>Abono  Alquiler de Dispensers</t>
  </si>
  <si>
    <t>Honorarios Estudio de Abogados -  Comercial</t>
  </si>
  <si>
    <t>Analisis Bacteriológico del agua - Red General del Country</t>
  </si>
  <si>
    <t>Honorarios Servicio de Bromatología</t>
  </si>
  <si>
    <t>Abono retiro Desechos Reciclables - mes marzo</t>
  </si>
  <si>
    <t>Servicio Área Protegida - Swiss Medical</t>
  </si>
  <si>
    <t>Honorarios Seguridad &amp; Higiene</t>
  </si>
  <si>
    <t>Honorarios Asesoría Forestal</t>
  </si>
  <si>
    <t>Servicio de digitalización y protecçión de datos - mes enero</t>
  </si>
  <si>
    <t>Servicio de digitalización y protecçión de datos - mes febrero</t>
  </si>
  <si>
    <t>Abono mensual - mantenimiento Carros Electricos - marzo</t>
  </si>
  <si>
    <t>Abono mensual - mantenimiento Carros Electricos - febrero</t>
  </si>
  <si>
    <t>Abono Medicina Laboral</t>
  </si>
  <si>
    <t>Abono mantenimiento Grupo Electrògeno - Mes  Marzo</t>
  </si>
  <si>
    <t>Abono Alquiler Fotocopiadora</t>
  </si>
  <si>
    <t>Abono mantenimiento Grupo Electrògeno - Mes  Febrero</t>
  </si>
  <si>
    <t>Total Honorarios y Abonos Generales</t>
  </si>
  <si>
    <t>Gastos Médicos</t>
  </si>
  <si>
    <t xml:space="preserve">Honorarios Médicos - Guardias diarias de 24 horas </t>
  </si>
  <si>
    <t>Parches equipo DEA desfibrilador</t>
  </si>
  <si>
    <t>Reposición de Insumos Medicamentos para Enfermería</t>
  </si>
  <si>
    <t>Total Gastos Médicos</t>
  </si>
  <si>
    <t>Gastos de Administracion</t>
  </si>
  <si>
    <t>Gastos de Administración - Asamblea 2026</t>
  </si>
  <si>
    <t>Fondo Fijo</t>
  </si>
  <si>
    <t>Gastos Judiciales - Fuero Comercial</t>
  </si>
  <si>
    <t>Gastos Bancarios</t>
  </si>
  <si>
    <t>Gastos de Administración</t>
  </si>
  <si>
    <t>Honorarios por estudio de factibilidad de ingreso de mixers de hormigonado</t>
  </si>
  <si>
    <t>Gestion de actualizacion Plano Municipal SUM - Anticipo 50%</t>
  </si>
  <si>
    <t>Gastos de Escribania</t>
  </si>
  <si>
    <t>Gastos Varios</t>
  </si>
  <si>
    <t>Sellos</t>
  </si>
  <si>
    <t>Comision Tarjeta Corporativa (Impuestos  y Gastos incluidos)</t>
  </si>
  <si>
    <t>Copiado de libros</t>
  </si>
  <si>
    <t>Gastos Administración - Librería</t>
  </si>
  <si>
    <t>Articulos de librería</t>
  </si>
  <si>
    <t>Total Gastos de Administracion</t>
  </si>
  <si>
    <t>Mantenimiento de maquinas y rodados</t>
  </si>
  <si>
    <t>Mantenimiento Máquinas - Área Golf</t>
  </si>
  <si>
    <t>Reparacion carro de Golf</t>
  </si>
  <si>
    <t>Mantenimiento Máquinas - Área Mantenimiento General</t>
  </si>
  <si>
    <t>Total Mantenimiento de maquinas y rodados</t>
  </si>
  <si>
    <t>Gastos de Personal</t>
  </si>
  <si>
    <t>Servicios Gastronómicos - Servicio de viandas al personal</t>
  </si>
  <si>
    <t>Otros Gastos de Personal - OSDE</t>
  </si>
  <si>
    <t>Indumentaria y Calzado para el Personal</t>
  </si>
  <si>
    <t>Otros Gastos de Personal</t>
  </si>
  <si>
    <t>Otros Gastos de Personal - Diagnostico Pilar</t>
  </si>
  <si>
    <t>Otros Gastos de Personal - Cuota 3/3</t>
  </si>
  <si>
    <t>Artículos de Libreria</t>
  </si>
  <si>
    <t>Total Gastos de Personal</t>
  </si>
  <si>
    <t>Gastos de Telefonia &amp; Internet</t>
  </si>
  <si>
    <t>Abono mensual empresa Personal SA</t>
  </si>
  <si>
    <t>Abono mensual por servicio de Internet</t>
  </si>
  <si>
    <t>Telefonia Movil - Reposicion de Celulares</t>
  </si>
  <si>
    <t>Abono mensual - Direct TV</t>
  </si>
  <si>
    <t>Reparacion  Central - Lineas Telefonicas</t>
  </si>
  <si>
    <t>Abono mensual por servicio de Internet - Metrotel</t>
  </si>
  <si>
    <t>Abono Mensual Netflix</t>
  </si>
  <si>
    <t>Servicios de Internet</t>
  </si>
  <si>
    <t>Abono Mensual Apple</t>
  </si>
  <si>
    <t>Abono Mensual Primevideo</t>
  </si>
  <si>
    <t>Total Gastos de Telefonia &amp; Internet</t>
  </si>
  <si>
    <t>Gastos de Seguros</t>
  </si>
  <si>
    <t>Póliza de Seguro 13057- SMG - Seguro de Vida</t>
  </si>
  <si>
    <t>Póliza de Seguro 1995571- SMG - Automoviles</t>
  </si>
  <si>
    <t>Póliza de Seguro 84695- SMG - Incendio</t>
  </si>
  <si>
    <t>Póliza accidentes personales - Profesores de Tenis (Costo a cargo de los profesores.)</t>
  </si>
  <si>
    <t>Póliza de Seguro 4295- SMG - Seguro Técnico - Robo</t>
  </si>
  <si>
    <t>Póliza de Seguro 99200- SMG - Responsabilidad Civil -Country</t>
  </si>
  <si>
    <t>Póliza de Seguros 162042 - SMG - Integral de Comercio</t>
  </si>
  <si>
    <t>Póliza accidentes personales - Médicos</t>
  </si>
  <si>
    <t>Total Gastos de Seguros</t>
  </si>
  <si>
    <t>Mantenimiento  de Espacios Comunes, Sociales y Deportivos</t>
  </si>
  <si>
    <t>Caloventor para pileta</t>
  </si>
  <si>
    <t>Semillas para re-siembra cancha de Golf</t>
  </si>
  <si>
    <t>Combustibles y Lubricantes</t>
  </si>
  <si>
    <t>Gastos de Mantenimiento - Material y Repuestos Sanitarios</t>
  </si>
  <si>
    <t>Gastos de Mantenimiento - Área Fútbol</t>
  </si>
  <si>
    <t>Gastos de Mantenimiento - Ferretería &amp; Cerrajería &amp; Herrería</t>
  </si>
  <si>
    <t>Articulos de Limpieza</t>
  </si>
  <si>
    <t>Generador portatil p/emergencias</t>
  </si>
  <si>
    <t>Bacheo / Asfalto calles del Country</t>
  </si>
  <si>
    <t>Gastos de Mantenimiento - Área Tenis</t>
  </si>
  <si>
    <t>Insumos Pintura - Mantenimiento General</t>
  </si>
  <si>
    <t>Verificación / Reparación medidores Unidades Funcionales</t>
  </si>
  <si>
    <t>Gastos de Mantenimiento - Área Tenis - Polvo de ladrillo</t>
  </si>
  <si>
    <t>Honorarios por peritaje UF 101 - Anticipo  50%</t>
  </si>
  <si>
    <t>Medicion puesta a tierra Edificios y Alumbrado electrico  - Cuota 6/6</t>
  </si>
  <si>
    <t>Insumos Electricidad - Área Mantenimiento General</t>
  </si>
  <si>
    <t>Reparacion Aires Acondicionados, bebederos y otros</t>
  </si>
  <si>
    <t>Gastos de Mantenimiento - Área Hípica</t>
  </si>
  <si>
    <t>Mantenimiento General - Sector Hipico</t>
  </si>
  <si>
    <t>Reposicion vidrio -  Casa de niños (costo a recuperar por el seguro)</t>
  </si>
  <si>
    <t>Gastos de Flete</t>
  </si>
  <si>
    <t>Gastos de Mantenimiento - Área General</t>
  </si>
  <si>
    <t>Control de Plagas</t>
  </si>
  <si>
    <t>Pizzarras y Soporte para Sala de Directorio</t>
  </si>
  <si>
    <t>Vasos para uso en dispenser  de areas comunes, sociales y deportivas</t>
  </si>
  <si>
    <t>Gastos de Lavandería - sabanas &amp; acolchados - Sector Enfermeria</t>
  </si>
  <si>
    <t>Gastos de Mantenimiento - Área Golf</t>
  </si>
  <si>
    <t>Reemplazo del piso del Sector Hípico</t>
  </si>
  <si>
    <t>Gastos de Mantenimiento - Área Hipico</t>
  </si>
  <si>
    <t>Gastos de Mantenimiento Gral. - Materiales de construcción</t>
  </si>
  <si>
    <t>Gastos de Mantenimiento - House Ppal</t>
  </si>
  <si>
    <t>Gastos de Mantenimiento - Área Golf - Semillas</t>
  </si>
  <si>
    <t>Gastos de Mantenimiento General</t>
  </si>
  <si>
    <t>Presentacion expediente por reduccion  de tasa  vuelco ADA</t>
  </si>
  <si>
    <t>Reparacion Generador eléctrico de Porteria</t>
  </si>
  <si>
    <t>Reparaciones Generales</t>
  </si>
  <si>
    <t>Gastos de Lavandería - Toallas masoterapia</t>
  </si>
  <si>
    <t>Horno de Miroondas para Administracion - Cuota 3/3</t>
  </si>
  <si>
    <t>Analisis Bacteriológico del agua - Pileta de Natación</t>
  </si>
  <si>
    <t>Cloro granulado para pileta de natacion</t>
  </si>
  <si>
    <t>Renovacion Cartelería de Porteria</t>
  </si>
  <si>
    <t>Gastos de Mantenimiento - Repuestos y Lubricantes</t>
  </si>
  <si>
    <t>Gastos Señalética</t>
  </si>
  <si>
    <t>Total Mantenimiento  de Espacios Comunes, Sociales y Deportivos</t>
  </si>
  <si>
    <t>Gastos de Informatica, Audio y Sonido</t>
  </si>
  <si>
    <t>Insumos Informáticos</t>
  </si>
  <si>
    <t>Telefonia Movil - Reposicion de Celulares Cuota 5/6</t>
  </si>
  <si>
    <t>Computadora Administracion - Lenovo - Cuota 1/6</t>
  </si>
  <si>
    <t>Computadora Administracion - Cuota 1/6</t>
  </si>
  <si>
    <t>Reparacion sitio web institucional</t>
  </si>
  <si>
    <t>Computadora Administracion - Cuota 10/12</t>
  </si>
  <si>
    <t>Monitor Administracion - Cuota 1/6</t>
  </si>
  <si>
    <t>Total Gastos de Informatica, Audio y Sonido</t>
  </si>
  <si>
    <t>Actividades Sociales de Menores y Deportivas - Servicios e Insumos</t>
  </si>
  <si>
    <t>Servicios Deportivos - (Fútbol).</t>
  </si>
  <si>
    <t>Servicios de entretenimiento - Menores y Juventud</t>
  </si>
  <si>
    <t>Alquiler canchas Fútbol  -  CABA (se recupera de los socios)</t>
  </si>
  <si>
    <t>Servicio de Coordinación y Entrenamiento (Gimnasio)</t>
  </si>
  <si>
    <t>Honorarios Coordinación y Profesores de Tenis</t>
  </si>
  <si>
    <t>Inscripción Equipos Torneo Futbol 2026 - AIFZN</t>
  </si>
  <si>
    <t>Alquiler combis traslado de equipos deportivos</t>
  </si>
  <si>
    <t>Pensión Hípico (Costo se recupera parcialmente de los socios)</t>
  </si>
  <si>
    <t>Servicios Deportivos - (Hockey).</t>
  </si>
  <si>
    <t>Insumos Deportivos - Área Hípica</t>
  </si>
  <si>
    <t>Evento Maraton - Anticipo 30%</t>
  </si>
  <si>
    <t xml:space="preserve">Inscripcion de equipos de Tenis en Latic 2026 </t>
  </si>
  <si>
    <t>Honorarios Profesor de Equitación</t>
  </si>
  <si>
    <t>Gastos Actividad Mayores - Área Golf.</t>
  </si>
  <si>
    <t>Insumos Deportivos - Área Futbol</t>
  </si>
  <si>
    <t>Abono Hallmore Argentina SRL</t>
  </si>
  <si>
    <t>Insumos deportivos - Área Gimnasio</t>
  </si>
  <si>
    <t>Honorarios profesor de Natación</t>
  </si>
  <si>
    <t>Alquiler de cancha de Futbol por re-siembra</t>
  </si>
  <si>
    <t>Honorarios servicio de herraje caballos del Country.</t>
  </si>
  <si>
    <t>Gastos Actividad de Menores</t>
  </si>
  <si>
    <t>Botiquin primeros auxilios - Sector Tenis</t>
  </si>
  <si>
    <t>Indumentaria Deportiva Futbol - c/recupero por venta a socios.</t>
  </si>
  <si>
    <t>Insumos deportivos - Área Hockey</t>
  </si>
  <si>
    <t>Insumos Deportivos - Área Hipico</t>
  </si>
  <si>
    <t>Gastos Actividad Menores - Librería</t>
  </si>
  <si>
    <t>Insumos Actividad de Menores</t>
  </si>
  <si>
    <t>Insumos médicos para caballos de la escuela - Sector Hipico</t>
  </si>
  <si>
    <t>Total Actividades Sociales de Menores y Deportivas - Servicios e Insumos</t>
  </si>
  <si>
    <t>Eventos y Actividades Sociales, Culturales y Recreativas</t>
  </si>
  <si>
    <t>Servicio de Masoterapia -  (Costo a cargo de los socios)</t>
  </si>
  <si>
    <t>Evento Gala Lírica -  Adelanto 50% - Mes junio</t>
  </si>
  <si>
    <t>Evento Ivan Papetti - Saldo restante 50%</t>
  </si>
  <si>
    <t>Evento Ivan Papetti - Anticipo 50%</t>
  </si>
  <si>
    <t>Servicio de Masajes -  (Costo a cargo de los socios)</t>
  </si>
  <si>
    <t>Evento - Show Cecilia Milone</t>
  </si>
  <si>
    <t>Honorarios Clases de Baile (Se recupera parcialmente de los socios)</t>
  </si>
  <si>
    <t>Honorarios profesor de Coro ( se recupera parcialmewnte de los socios)</t>
  </si>
  <si>
    <t xml:space="preserve">Alquiler sillas show Cecilia Milone </t>
  </si>
  <si>
    <t>Honorarios clases de Arqueria (Costo a cargo de los socios)</t>
  </si>
  <si>
    <t xml:space="preserve">Alquiler copas show Cecilia Milone </t>
  </si>
  <si>
    <t>Total Eventos y Actividades Sociales, Culturales y Recreativas</t>
  </si>
  <si>
    <t>Impuestos</t>
  </si>
  <si>
    <t>ARCA - SIRE - Retencion IVA</t>
  </si>
  <si>
    <t xml:space="preserve">Impuesto Débito &amp; Crédito </t>
  </si>
  <si>
    <t>ARBA - IIBB - Percepcion proveedores</t>
  </si>
  <si>
    <t>ARCA - SIRE - Retencion Seguridad Social a Proveedores</t>
  </si>
  <si>
    <t>Impuesto Inmobiliario</t>
  </si>
  <si>
    <t>ARCA - SICORE - Retencion Ganancia Proveedores</t>
  </si>
  <si>
    <t>ARCA - SICORE - Retencion Ganancia Empleados</t>
  </si>
  <si>
    <t>Impuesto Municipal</t>
  </si>
  <si>
    <t>ARBA - IIBB - Rentencion Bancaria</t>
  </si>
  <si>
    <t>Retenciones Impositivas &amp; ARCA</t>
  </si>
  <si>
    <t>Autoridad del Agua - Campana</t>
  </si>
  <si>
    <t>ARBA - IIBB - Percepcion Tarjetas de Credito</t>
  </si>
  <si>
    <t>Total Impuestos</t>
  </si>
  <si>
    <t>Total general</t>
  </si>
  <si>
    <t>Superávit / Déficit entre Ingresos menos Erogaciones</t>
  </si>
  <si>
    <t>GASTOS POR COBRANZA DE EXPENSAS CON MEDIOS DE PAGO - Mes abril 2026</t>
  </si>
  <si>
    <t>Medios de Cobro</t>
  </si>
  <si>
    <t>Comision + IVA</t>
  </si>
  <si>
    <t>IIBB</t>
  </si>
  <si>
    <t>Otros gastos</t>
  </si>
  <si>
    <t>PMC</t>
  </si>
  <si>
    <t>Tarjeta VISA</t>
  </si>
  <si>
    <t>Tarjeta Master</t>
  </si>
  <si>
    <t>Tarjeta Amex</t>
  </si>
  <si>
    <t>Totales</t>
  </si>
  <si>
    <t>Gasto total</t>
  </si>
  <si>
    <t>Proyectos Arquitectura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</si>
</sst>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\ 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3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8" tint="-0.249977111117893"/>
      </top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8" tint="-0.249977111117893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164" fontId="0" fillId="0" borderId="18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64" fontId="6" fillId="0" borderId="26" xfId="0" applyNumberFormat="1" applyFont="1" applyBorder="1" applyAlignment="1">
      <alignment horizontal="center" vertical="center" wrapText="1"/>
    </xf>
    <xf numFmtId="0" fontId="4" fillId="2" borderId="27" xfId="0" applyFont="1" applyFill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164" fontId="0" fillId="0" borderId="28" xfId="0" applyNumberForma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1" fontId="7" fillId="0" borderId="29" xfId="0" applyNumberFormat="1" applyFont="1" applyBorder="1" applyAlignment="1">
      <alignment horizontal="center" vertical="center" wrapText="1"/>
    </xf>
    <xf numFmtId="164" fontId="9" fillId="0" borderId="29" xfId="0" applyNumberFormat="1" applyFont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164" fontId="1" fillId="0" borderId="29" xfId="0" applyNumberFormat="1" applyFont="1" applyBorder="1" applyAlignment="1">
      <alignment horizontal="center" vertical="center" wrapText="1"/>
    </xf>
    <xf numFmtId="165" fontId="1" fillId="0" borderId="29" xfId="0" applyNumberFormat="1" applyFont="1" applyBorder="1" applyAlignment="1">
      <alignment horizontal="center" vertical="center" wrapText="1"/>
    </xf>
    <xf numFmtId="0" fontId="4" fillId="3" borderId="16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vertical="center" wrapText="1"/>
    </xf>
    <xf numFmtId="165" fontId="1" fillId="3" borderId="29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165" fontId="0" fillId="0" borderId="29" xfId="0" applyNumberFormat="1" applyBorder="1" applyAlignment="1">
      <alignment horizontal="center" vertical="center"/>
    </xf>
    <xf numFmtId="0" fontId="1" fillId="3" borderId="16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165" fontId="1" fillId="3" borderId="29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1" fillId="0" borderId="29" xfId="0" applyNumberFormat="1" applyFont="1" applyBorder="1" applyAlignment="1">
      <alignment horizontal="center" vertical="center"/>
    </xf>
    <xf numFmtId="0" fontId="1" fillId="3" borderId="30" xfId="0" applyFont="1" applyFill="1" applyBorder="1" applyAlignment="1">
      <alignment vertical="center"/>
    </xf>
    <xf numFmtId="165" fontId="1" fillId="3" borderId="30" xfId="0" applyNumberFormat="1" applyFont="1" applyFill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165" fontId="1" fillId="0" borderId="3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34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0" fontId="1" fillId="3" borderId="2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2" borderId="35" xfId="0" applyFill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165" fontId="0" fillId="0" borderId="35" xfId="0" applyNumberFormat="1" applyBorder="1" applyAlignment="1">
      <alignment horizontal="center" vertical="center" wrapText="1"/>
    </xf>
    <xf numFmtId="0" fontId="0" fillId="2" borderId="29" xfId="0" applyFill="1" applyBorder="1" applyAlignment="1">
      <alignment vertical="center" wrapText="1"/>
    </xf>
    <xf numFmtId="165" fontId="0" fillId="0" borderId="29" xfId="0" applyNumberFormat="1" applyBorder="1" applyAlignment="1">
      <alignment horizontal="center" vertical="center" wrapText="1"/>
    </xf>
    <xf numFmtId="0" fontId="0" fillId="2" borderId="30" xfId="0" applyFill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165" fontId="0" fillId="0" borderId="30" xfId="0" applyNumberForma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165" fontId="1" fillId="0" borderId="26" xfId="0" applyNumberFormat="1" applyFont="1" applyBorder="1" applyAlignment="1">
      <alignment horizontal="center" vertical="center" wrapText="1"/>
    </xf>
    <xf numFmtId="0" fontId="1" fillId="3" borderId="36" xfId="0" applyFont="1" applyFill="1" applyBorder="1" applyAlignment="1">
      <alignment vertical="center" wrapText="1"/>
    </xf>
    <xf numFmtId="165" fontId="1" fillId="3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ian/Desktop/Banco%20y%20proveedores/Bancos%20y%20detalle%20pago%20a%20proveedores%2031%2007%202020%20final%20jul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DT/Downloads/Bancos%20y%20detalle%20pago%20a%20proveedores%202021%2001%2031%20%20final%20enero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jandro/AppData/Local/Microsoft/Windows/INetCache/Content.Outlook/U4HWDWRF/Pagos%20abril%202026%2004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BANCARIO"/>
      <sheetName val="Listado de Cheques emitidos"/>
      <sheetName val="Detalle pago Proveedores"/>
      <sheetName val="Resumen"/>
      <sheetName val="Pagos en efectivo"/>
      <sheetName val="Datos Bancarios"/>
      <sheetName val="Detalle ch librados"/>
      <sheetName val="Hoja1 (2)"/>
      <sheetName val="Hoja1"/>
      <sheetName val="Tablas de Informacion detallada"/>
      <sheetName val="Tablas de Informacion"/>
      <sheetName val="Referencias"/>
      <sheetName val="Hoja2"/>
      <sheetName val="Bancos y detalle pago a prove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BANCARIO"/>
      <sheetName val="Listado de Cheques emitidos"/>
      <sheetName val="Detalle pago Proveedores"/>
      <sheetName val="Resumen"/>
      <sheetName val="Pagos en efectivo"/>
      <sheetName val="Datos Bancarios"/>
      <sheetName val="Detalle ch librados"/>
      <sheetName val="Hoja1 (2)"/>
      <sheetName val="Hoja1"/>
      <sheetName val="Tablas de Informacion detallada"/>
      <sheetName val="Tablas de Informacion"/>
      <sheetName val="Referencia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 t="str">
            <v>Si</v>
          </cell>
        </row>
        <row r="5">
          <cell r="B5" t="str">
            <v>No</v>
          </cell>
        </row>
        <row r="6">
          <cell r="B6" t="str">
            <v>Pendiente</v>
          </cell>
        </row>
        <row r="7">
          <cell r="B7" t="str">
            <v xml:space="preserve"> </v>
          </cell>
        </row>
      </sheetData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CFlow febrero final"/>
      <sheetName val="Gtos Bancarios DICIEMBRE "/>
      <sheetName val="Com Banc ENERO 2022"/>
      <sheetName val="Tabla resumen OPs"/>
      <sheetName val="BASE Resumen CFlow marzo final"/>
      <sheetName val="BASE Resumen CFlow abril 22 vf"/>
      <sheetName val="BASE Resumen CFlow abril 2022"/>
      <sheetName val="Proveedores Abril 22"/>
      <sheetName val="BASE Resumen CFlow mayo 22"/>
      <sheetName val="FINAL CFlow noviembre 22"/>
      <sheetName val="Hoja4"/>
      <sheetName val="Rubros Principales"/>
      <sheetName val="Informacion abierta"/>
      <sheetName val="Gtos de personal"/>
      <sheetName val="Hoja Resumen"/>
      <sheetName val="Ingresos Resumen"/>
      <sheetName val="FINAL CFlow  abril 24 (2)"/>
      <sheetName val="Maestro de Ingresos"/>
      <sheetName val="Cobranza ingresos 06 2023"/>
      <sheetName val="Egresos Detallada"/>
      <sheetName val="Egresos Resumen"/>
      <sheetName val="Tabla de retenciones mes"/>
      <sheetName val="FINAL present 0324"/>
      <sheetName val="Cargas Sociales"/>
      <sheetName val="Datos ARCA - Empleados"/>
      <sheetName val="Informacion detallada (2)"/>
      <sheetName val="Hoja2"/>
      <sheetName val="BASE CFlow marzo 25"/>
      <sheetName val="OPs AF"/>
      <sheetName val="Hoja7"/>
      <sheetName val="Hoja6"/>
      <sheetName val="Extracto bancario"/>
      <sheetName val="Hoja3"/>
      <sheetName val="Hoja8"/>
      <sheetName val="Tabla de Personal (2)"/>
      <sheetName val="plantilla de personal"/>
      <sheetName val="Bco vs AF"/>
      <sheetName val="Datos Banco may"/>
      <sheetName val="Maestro de Pagos"/>
      <sheetName val="Control ops c banco"/>
      <sheetName val="FINAL CFlow dic 25"/>
      <sheetName val="tabla resumen sal x ctro"/>
      <sheetName val="BASE CFlow dic 25"/>
      <sheetName val="Hoja9"/>
      <sheetName val="Hoja10"/>
      <sheetName val="Tabla gastos por Rubro"/>
      <sheetName val="Proveedores marzo 26"/>
      <sheetName val="Hoja5"/>
      <sheetName val="Tabla de detalle general"/>
      <sheetName val="Informacion detallada"/>
      <sheetName val="Apertura FF"/>
      <sheetName val="FCI ANALISIS"/>
      <sheetName val="data Salarios"/>
      <sheetName val="Tabla ingresos varios"/>
      <sheetName val="Leyendas"/>
      <sheetName val="Cuenta - Rubro"/>
      <sheetName val="Tabla Control de Imputaciones"/>
      <sheetName val="Gtos Bancarios Noviembre"/>
      <sheetName val="Pagos por Nro de OP"/>
      <sheetName val="Hoja1"/>
      <sheetName val="Pagos del 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5">
          <cell r="D35" t="str">
            <v>Total Ingresos de Fondos  - Mes abril 2026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I284"/>
  <sheetViews>
    <sheetView tabSelected="1" topLeftCell="A266" zoomScaleNormal="100" workbookViewId="0">
      <selection activeCell="D267" sqref="D267"/>
    </sheetView>
  </sheetViews>
  <sheetFormatPr baseColWidth="10" defaultRowHeight="14.4" x14ac:dyDescent="0.3"/>
  <cols>
    <col min="1" max="1" width="11.5546875" style="1"/>
    <col min="2" max="2" width="1.5546875" style="1" customWidth="1"/>
    <col min="3" max="3" width="42.77734375" style="1" customWidth="1"/>
    <col min="4" max="4" width="70.109375" style="1" customWidth="1"/>
    <col min="5" max="5" width="14.109375" style="1" customWidth="1"/>
    <col min="6" max="6" width="17.6640625" style="1" customWidth="1"/>
    <col min="7" max="7" width="19.6640625" style="67" customWidth="1"/>
    <col min="8" max="8" width="13.44140625" style="1" bestFit="1" customWidth="1"/>
    <col min="9" max="9" width="21.33203125" style="1" customWidth="1"/>
    <col min="10" max="10" width="11.5546875" style="1"/>
    <col min="11" max="11" width="11.6640625" style="1" customWidth="1"/>
    <col min="12" max="16384" width="11.5546875" style="1"/>
  </cols>
  <sheetData>
    <row r="1" spans="3:9" ht="15.6" x14ac:dyDescent="0.3">
      <c r="C1" s="88" t="s">
        <v>0</v>
      </c>
      <c r="D1" s="88"/>
      <c r="E1" s="88"/>
      <c r="F1" s="88"/>
      <c r="G1" s="88"/>
    </row>
    <row r="2" spans="3:9" ht="15" thickBot="1" x14ac:dyDescent="0.35">
      <c r="G2" s="2"/>
    </row>
    <row r="3" spans="3:9" ht="21.75" customHeight="1" thickTop="1" x14ac:dyDescent="0.3">
      <c r="C3" s="3" t="s">
        <v>1</v>
      </c>
      <c r="D3" s="4"/>
      <c r="E3" s="4"/>
      <c r="F3" s="4"/>
      <c r="G3" s="5">
        <v>154060592.47999954</v>
      </c>
    </row>
    <row r="4" spans="3:9" ht="20.25" customHeight="1" x14ac:dyDescent="0.3">
      <c r="C4" s="6" t="s">
        <v>2</v>
      </c>
      <c r="D4" s="7"/>
      <c r="E4" s="7"/>
      <c r="F4" s="7"/>
      <c r="G4" s="8">
        <f>+G272</f>
        <v>6797244.6100006104</v>
      </c>
    </row>
    <row r="5" spans="3:9" ht="15" thickBot="1" x14ac:dyDescent="0.35">
      <c r="C5" s="9" t="s">
        <v>3</v>
      </c>
      <c r="D5" s="10"/>
      <c r="E5" s="10"/>
      <c r="F5" s="10"/>
      <c r="G5" s="11">
        <f>+G3+G4</f>
        <v>160857837.09000015</v>
      </c>
      <c r="I5" s="12"/>
    </row>
    <row r="6" spans="3:9" ht="15" thickTop="1" x14ac:dyDescent="0.3">
      <c r="C6" s="7" t="s">
        <v>4</v>
      </c>
      <c r="D6" s="7"/>
      <c r="E6" s="7"/>
      <c r="F6" s="7"/>
      <c r="G6" s="2" t="s">
        <v>4</v>
      </c>
    </row>
    <row r="7" spans="3:9" x14ac:dyDescent="0.3">
      <c r="C7" s="7"/>
      <c r="D7" s="7"/>
      <c r="E7" s="7"/>
      <c r="F7" s="7"/>
      <c r="G7" s="2"/>
    </row>
    <row r="8" spans="3:9" ht="28.8" x14ac:dyDescent="0.3">
      <c r="C8" s="13" t="s">
        <v>5</v>
      </c>
      <c r="D8" s="14"/>
      <c r="E8" s="14"/>
      <c r="F8" s="14"/>
      <c r="G8" s="15"/>
    </row>
    <row r="9" spans="3:9" x14ac:dyDescent="0.3">
      <c r="G9" s="2"/>
    </row>
    <row r="10" spans="3:9" ht="15.6" x14ac:dyDescent="0.3">
      <c r="C10" s="16" t="s">
        <v>6</v>
      </c>
      <c r="D10" s="17"/>
      <c r="E10" s="18"/>
      <c r="F10" s="18"/>
      <c r="G10" s="19">
        <f>SUM(F11:F21)</f>
        <v>1011650543.9599999</v>
      </c>
    </row>
    <row r="11" spans="3:9" ht="15.6" x14ac:dyDescent="0.3">
      <c r="C11" s="20"/>
      <c r="D11" s="21" t="s">
        <v>7</v>
      </c>
      <c r="E11" s="22"/>
      <c r="F11" s="23">
        <v>276854262.34999996</v>
      </c>
      <c r="G11" s="24"/>
    </row>
    <row r="12" spans="3:9" ht="15.6" x14ac:dyDescent="0.3">
      <c r="C12" s="20"/>
      <c r="D12" s="21" t="s">
        <v>8</v>
      </c>
      <c r="E12" s="22"/>
      <c r="F12" s="23">
        <v>51755953.189999998</v>
      </c>
      <c r="G12" s="24"/>
    </row>
    <row r="13" spans="3:9" ht="15.6" x14ac:dyDescent="0.3">
      <c r="C13" s="20"/>
      <c r="D13" s="21" t="s">
        <v>9</v>
      </c>
      <c r="E13" s="22"/>
      <c r="F13" s="23">
        <v>136501267.81999999</v>
      </c>
      <c r="G13" s="24"/>
    </row>
    <row r="14" spans="3:9" ht="15.6" x14ac:dyDescent="0.3">
      <c r="C14" s="20"/>
      <c r="D14" s="21" t="s">
        <v>10</v>
      </c>
      <c r="E14" s="22"/>
      <c r="F14" s="23">
        <v>10798753.550000001</v>
      </c>
      <c r="G14" s="24"/>
    </row>
    <row r="15" spans="3:9" ht="15.6" x14ac:dyDescent="0.3">
      <c r="C15" s="20"/>
      <c r="D15" s="21" t="s">
        <v>11</v>
      </c>
      <c r="E15" s="22"/>
      <c r="F15" s="23">
        <v>15426342.609999999</v>
      </c>
      <c r="G15" s="24"/>
    </row>
    <row r="16" spans="3:9" ht="15.6" x14ac:dyDescent="0.3">
      <c r="C16" s="20"/>
      <c r="D16" s="21" t="s">
        <v>12</v>
      </c>
      <c r="E16" s="22"/>
      <c r="F16" s="23">
        <v>392755340.94000006</v>
      </c>
      <c r="G16" s="24"/>
    </row>
    <row r="17" spans="3:9" ht="15.6" x14ac:dyDescent="0.3">
      <c r="C17" s="20"/>
      <c r="D17" s="21" t="s">
        <v>13</v>
      </c>
      <c r="E17" s="22"/>
      <c r="F17" s="23">
        <v>50077465.520000003</v>
      </c>
      <c r="G17" s="24"/>
    </row>
    <row r="18" spans="3:9" ht="15.6" x14ac:dyDescent="0.3">
      <c r="C18" s="20"/>
      <c r="D18" s="21" t="s">
        <v>14</v>
      </c>
      <c r="E18" s="22"/>
      <c r="F18" s="23">
        <v>1260000</v>
      </c>
      <c r="G18" s="24"/>
    </row>
    <row r="19" spans="3:9" ht="15.6" x14ac:dyDescent="0.3">
      <c r="C19" s="20"/>
      <c r="D19" s="21" t="s">
        <v>15</v>
      </c>
      <c r="E19" s="22"/>
      <c r="F19" s="23">
        <v>59906007.040000007</v>
      </c>
      <c r="G19" s="24"/>
    </row>
    <row r="20" spans="3:9" ht="15.6" x14ac:dyDescent="0.3">
      <c r="C20" s="20"/>
      <c r="D20" s="21" t="s">
        <v>16</v>
      </c>
      <c r="E20" s="22"/>
      <c r="F20" s="23">
        <v>6719913.6700000009</v>
      </c>
      <c r="G20" s="24"/>
    </row>
    <row r="21" spans="3:9" ht="15.6" x14ac:dyDescent="0.3">
      <c r="C21" s="20"/>
      <c r="D21" s="21" t="s">
        <v>17</v>
      </c>
      <c r="E21" s="22"/>
      <c r="F21" s="23">
        <v>9595237.2699999996</v>
      </c>
      <c r="G21" s="24"/>
    </row>
    <row r="22" spans="3:9" ht="15.6" x14ac:dyDescent="0.3">
      <c r="C22" s="20" t="s">
        <v>18</v>
      </c>
      <c r="D22" s="25"/>
      <c r="E22" s="26"/>
      <c r="F22" s="26"/>
      <c r="G22" s="27">
        <v>1900500</v>
      </c>
    </row>
    <row r="23" spans="3:9" ht="15.6" x14ac:dyDescent="0.3">
      <c r="C23" s="20" t="s">
        <v>19</v>
      </c>
      <c r="D23" s="25"/>
      <c r="E23" s="26"/>
      <c r="F23" s="26"/>
      <c r="G23" s="27">
        <v>12032987.970000001</v>
      </c>
    </row>
    <row r="24" spans="3:9" ht="31.2" x14ac:dyDescent="0.3">
      <c r="C24" s="20" t="s">
        <v>20</v>
      </c>
      <c r="D24" s="28"/>
      <c r="E24" s="29"/>
      <c r="F24" s="29"/>
      <c r="G24" s="30">
        <v>5194576.3</v>
      </c>
    </row>
    <row r="25" spans="3:9" ht="17.399999999999999" customHeight="1" thickBot="1" x14ac:dyDescent="0.35">
      <c r="C25" s="20" t="s">
        <v>21</v>
      </c>
      <c r="D25" s="28"/>
      <c r="E25" s="29"/>
      <c r="F25" s="29"/>
      <c r="G25" s="31">
        <v>-4480169.01</v>
      </c>
    </row>
    <row r="26" spans="3:9" ht="15.6" thickTop="1" thickBot="1" x14ac:dyDescent="0.35">
      <c r="C26" s="32" t="str">
        <f>+'[3]BASE CFlow dic 25'!D35</f>
        <v>Total Ingresos de Fondos  - Mes abril 2026</v>
      </c>
      <c r="D26" s="33"/>
      <c r="E26" s="33"/>
      <c r="F26" s="33"/>
      <c r="G26" s="34">
        <f>SUM(G10:G25)</f>
        <v>1026298439.2199999</v>
      </c>
    </row>
    <row r="27" spans="3:9" ht="4.5" customHeight="1" thickTop="1" x14ac:dyDescent="0.3">
      <c r="G27" s="2"/>
    </row>
    <row r="28" spans="3:9" ht="11.25" customHeight="1" x14ac:dyDescent="0.3">
      <c r="G28" s="35"/>
    </row>
    <row r="29" spans="3:9" x14ac:dyDescent="0.3">
      <c r="C29" s="89" t="s">
        <v>22</v>
      </c>
      <c r="D29" s="90"/>
      <c r="E29" s="90"/>
      <c r="F29" s="90"/>
      <c r="G29" s="91"/>
    </row>
    <row r="30" spans="3:9" ht="6.75" customHeight="1" x14ac:dyDescent="0.3">
      <c r="C30" s="7"/>
      <c r="D30" s="7"/>
      <c r="E30" s="7"/>
      <c r="F30" s="7"/>
      <c r="G30" s="35"/>
    </row>
    <row r="31" spans="3:9" ht="18.45" customHeight="1" x14ac:dyDescent="0.3">
      <c r="C31" s="36" t="s">
        <v>23</v>
      </c>
      <c r="D31" s="36" t="s">
        <v>24</v>
      </c>
      <c r="E31" s="36" t="s">
        <v>25</v>
      </c>
      <c r="F31" s="36" t="s">
        <v>26</v>
      </c>
      <c r="G31" s="37" t="s">
        <v>27</v>
      </c>
    </row>
    <row r="32" spans="3:9" ht="15.6" x14ac:dyDescent="0.3">
      <c r="C32" s="38" t="s">
        <v>28</v>
      </c>
      <c r="D32" s="39" t="s">
        <v>29</v>
      </c>
      <c r="E32" s="40"/>
      <c r="F32" s="41"/>
      <c r="G32" s="42">
        <v>207493590.53999999</v>
      </c>
      <c r="H32" s="12"/>
      <c r="I32" s="12"/>
    </row>
    <row r="33" spans="3:9" ht="15.6" x14ac:dyDescent="0.3">
      <c r="C33" s="20"/>
      <c r="D33" s="43" t="s">
        <v>30</v>
      </c>
      <c r="E33" s="44">
        <v>10</v>
      </c>
      <c r="F33" s="45">
        <v>41932372</v>
      </c>
      <c r="G33" s="46"/>
    </row>
    <row r="34" spans="3:9" ht="15.6" x14ac:dyDescent="0.3">
      <c r="C34" s="20"/>
      <c r="D34" s="43" t="s">
        <v>31</v>
      </c>
      <c r="E34" s="44">
        <v>4</v>
      </c>
      <c r="F34" s="45">
        <v>16832418</v>
      </c>
      <c r="G34" s="46"/>
      <c r="I34" s="12"/>
    </row>
    <row r="35" spans="3:9" ht="15.6" x14ac:dyDescent="0.3">
      <c r="C35" s="20"/>
      <c r="D35" s="43" t="s">
        <v>32</v>
      </c>
      <c r="E35" s="44">
        <v>10</v>
      </c>
      <c r="F35" s="45">
        <v>19735162</v>
      </c>
      <c r="G35" s="46"/>
    </row>
    <row r="36" spans="3:9" ht="15.6" x14ac:dyDescent="0.3">
      <c r="C36" s="20"/>
      <c r="D36" s="43" t="s">
        <v>33</v>
      </c>
      <c r="E36" s="44">
        <v>2</v>
      </c>
      <c r="F36" s="45">
        <v>4740171</v>
      </c>
      <c r="G36" s="46"/>
    </row>
    <row r="37" spans="3:9" ht="15.6" x14ac:dyDescent="0.3">
      <c r="C37" s="20"/>
      <c r="D37" s="43" t="s">
        <v>34</v>
      </c>
      <c r="E37" s="44">
        <v>34</v>
      </c>
      <c r="F37" s="45">
        <v>57202368.439999998</v>
      </c>
      <c r="G37" s="46"/>
    </row>
    <row r="38" spans="3:9" ht="15.6" x14ac:dyDescent="0.3">
      <c r="C38" s="20"/>
      <c r="D38" s="43" t="s">
        <v>35</v>
      </c>
      <c r="E38" s="44">
        <v>9</v>
      </c>
      <c r="F38" s="45">
        <v>18013983</v>
      </c>
      <c r="G38" s="46"/>
    </row>
    <row r="39" spans="3:9" ht="15.6" x14ac:dyDescent="0.3">
      <c r="C39" s="20"/>
      <c r="D39" s="43" t="s">
        <v>36</v>
      </c>
      <c r="E39" s="44">
        <v>7</v>
      </c>
      <c r="F39" s="45">
        <v>10678574</v>
      </c>
      <c r="G39" s="46"/>
    </row>
    <row r="40" spans="3:9" ht="15.6" x14ac:dyDescent="0.3">
      <c r="C40" s="20"/>
      <c r="D40" s="43" t="s">
        <v>37</v>
      </c>
      <c r="E40" s="44">
        <v>8</v>
      </c>
      <c r="F40" s="45">
        <v>24591611.100000005</v>
      </c>
      <c r="G40" s="46"/>
    </row>
    <row r="41" spans="3:9" ht="15.6" x14ac:dyDescent="0.3">
      <c r="C41" s="20"/>
      <c r="D41" s="43" t="s">
        <v>38</v>
      </c>
      <c r="E41" s="44">
        <v>5</v>
      </c>
      <c r="F41" s="45">
        <v>8598888</v>
      </c>
      <c r="G41" s="46"/>
    </row>
    <row r="42" spans="3:9" ht="15.6" x14ac:dyDescent="0.3">
      <c r="C42" s="20"/>
      <c r="D42" s="43" t="s">
        <v>39</v>
      </c>
      <c r="E42" s="44">
        <v>2</v>
      </c>
      <c r="F42" s="45">
        <v>5168043.0000000009</v>
      </c>
      <c r="G42" s="46"/>
    </row>
    <row r="43" spans="3:9" ht="15.6" x14ac:dyDescent="0.3">
      <c r="C43" s="20"/>
      <c r="D43" s="47" t="s">
        <v>40</v>
      </c>
      <c r="E43" s="44"/>
      <c r="F43" s="46"/>
      <c r="G43" s="48">
        <v>106275348.64999999</v>
      </c>
    </row>
    <row r="44" spans="3:9" ht="15.6" x14ac:dyDescent="0.3">
      <c r="C44" s="20"/>
      <c r="D44" s="43" t="s">
        <v>30</v>
      </c>
      <c r="E44" s="44">
        <v>10</v>
      </c>
      <c r="F44" s="46">
        <v>17994147.250815231</v>
      </c>
      <c r="G44" s="46"/>
    </row>
    <row r="45" spans="3:9" ht="15.6" x14ac:dyDescent="0.3">
      <c r="C45" s="20"/>
      <c r="D45" s="43" t="s">
        <v>31</v>
      </c>
      <c r="E45" s="44">
        <v>4</v>
      </c>
      <c r="F45" s="46">
        <v>7328605.5758366399</v>
      </c>
      <c r="G45" s="46"/>
    </row>
    <row r="46" spans="3:9" ht="15.6" x14ac:dyDescent="0.3">
      <c r="C46" s="20"/>
      <c r="D46" s="43" t="s">
        <v>32</v>
      </c>
      <c r="E46" s="44">
        <v>12</v>
      </c>
      <c r="F46" s="46">
        <v>11120277.359734785</v>
      </c>
      <c r="G46" s="46"/>
    </row>
    <row r="47" spans="3:9" ht="15.6" x14ac:dyDescent="0.3">
      <c r="C47" s="20"/>
      <c r="D47" s="43" t="s">
        <v>33</v>
      </c>
      <c r="E47" s="44">
        <v>2</v>
      </c>
      <c r="F47" s="46">
        <v>1584605.2586371568</v>
      </c>
      <c r="G47" s="46"/>
    </row>
    <row r="48" spans="3:9" ht="15.6" x14ac:dyDescent="0.3">
      <c r="C48" s="20"/>
      <c r="D48" s="43" t="s">
        <v>34</v>
      </c>
      <c r="E48" s="44">
        <v>36</v>
      </c>
      <c r="F48" s="46">
        <v>31445820.216390099</v>
      </c>
      <c r="G48" s="46"/>
    </row>
    <row r="49" spans="3:7" ht="15.6" x14ac:dyDescent="0.3">
      <c r="C49" s="20"/>
      <c r="D49" s="43" t="s">
        <v>35</v>
      </c>
      <c r="E49" s="44">
        <v>9</v>
      </c>
      <c r="F49" s="46">
        <v>10227825.047864655</v>
      </c>
      <c r="G49" s="46"/>
    </row>
    <row r="50" spans="3:7" ht="15.6" x14ac:dyDescent="0.3">
      <c r="C50" s="20"/>
      <c r="D50" s="43" t="s">
        <v>36</v>
      </c>
      <c r="E50" s="44">
        <v>7</v>
      </c>
      <c r="F50" s="46">
        <v>6938628.2577575101</v>
      </c>
      <c r="G50" s="46"/>
    </row>
    <row r="51" spans="3:7" ht="15.6" x14ac:dyDescent="0.3">
      <c r="C51" s="20"/>
      <c r="D51" s="43" t="s">
        <v>37</v>
      </c>
      <c r="E51" s="44">
        <v>8</v>
      </c>
      <c r="F51" s="46">
        <v>13055098.623972783</v>
      </c>
      <c r="G51" s="46"/>
    </row>
    <row r="52" spans="3:7" ht="15.6" x14ac:dyDescent="0.3">
      <c r="C52" s="20"/>
      <c r="D52" s="43" t="s">
        <v>38</v>
      </c>
      <c r="E52" s="44">
        <v>5</v>
      </c>
      <c r="F52" s="46">
        <v>3976968.7771894517</v>
      </c>
      <c r="G52" s="46"/>
    </row>
    <row r="53" spans="3:7" ht="15.6" x14ac:dyDescent="0.3">
      <c r="C53" s="20"/>
      <c r="D53" s="43" t="s">
        <v>39</v>
      </c>
      <c r="E53" s="44">
        <v>2</v>
      </c>
      <c r="F53" s="46">
        <v>2603372.2818016894</v>
      </c>
      <c r="G53" s="46"/>
    </row>
    <row r="54" spans="3:7" ht="15.6" x14ac:dyDescent="0.3">
      <c r="C54" s="20"/>
      <c r="D54" s="47" t="s">
        <v>41</v>
      </c>
      <c r="E54" s="44"/>
      <c r="F54" s="46"/>
      <c r="G54" s="49">
        <v>23857024</v>
      </c>
    </row>
    <row r="55" spans="3:7" ht="15.6" x14ac:dyDescent="0.3">
      <c r="C55" s="20"/>
      <c r="D55" s="43" t="s">
        <v>30</v>
      </c>
      <c r="E55" s="44">
        <v>1</v>
      </c>
      <c r="F55" s="46">
        <v>104896</v>
      </c>
      <c r="G55" s="46"/>
    </row>
    <row r="56" spans="3:7" ht="15.6" x14ac:dyDescent="0.3">
      <c r="C56" s="20"/>
      <c r="D56" s="43" t="s">
        <v>32</v>
      </c>
      <c r="E56" s="44">
        <v>4</v>
      </c>
      <c r="F56" s="46">
        <v>2552431</v>
      </c>
      <c r="G56" s="46"/>
    </row>
    <row r="57" spans="3:7" ht="15.6" x14ac:dyDescent="0.3">
      <c r="C57" s="20"/>
      <c r="D57" s="43" t="s">
        <v>34</v>
      </c>
      <c r="E57" s="44">
        <v>7</v>
      </c>
      <c r="F57" s="46">
        <v>10378339</v>
      </c>
      <c r="G57" s="46"/>
    </row>
    <row r="58" spans="3:7" ht="15.6" x14ac:dyDescent="0.3">
      <c r="C58" s="20"/>
      <c r="D58" s="43" t="s">
        <v>35</v>
      </c>
      <c r="E58" s="44">
        <v>2</v>
      </c>
      <c r="F58" s="46">
        <v>1360042</v>
      </c>
      <c r="G58" s="46"/>
    </row>
    <row r="59" spans="3:7" ht="15.6" x14ac:dyDescent="0.3">
      <c r="C59" s="20"/>
      <c r="D59" s="43" t="s">
        <v>36</v>
      </c>
      <c r="E59" s="44">
        <v>2</v>
      </c>
      <c r="F59" s="46">
        <v>4020958</v>
      </c>
      <c r="G59" s="46"/>
    </row>
    <row r="60" spans="3:7" ht="15.6" x14ac:dyDescent="0.3">
      <c r="C60" s="20"/>
      <c r="D60" s="43" t="s">
        <v>37</v>
      </c>
      <c r="E60" s="44">
        <v>2</v>
      </c>
      <c r="F60" s="46">
        <v>2525538</v>
      </c>
      <c r="G60" s="46"/>
    </row>
    <row r="61" spans="3:7" ht="15.6" x14ac:dyDescent="0.3">
      <c r="C61" s="20"/>
      <c r="D61" s="43" t="s">
        <v>38</v>
      </c>
      <c r="E61" s="44">
        <v>1</v>
      </c>
      <c r="F61" s="46">
        <v>2101936</v>
      </c>
      <c r="G61" s="46"/>
    </row>
    <row r="62" spans="3:7" ht="15.6" x14ac:dyDescent="0.3">
      <c r="C62" s="20"/>
      <c r="D62" s="43" t="s">
        <v>39</v>
      </c>
      <c r="E62" s="44">
        <v>1</v>
      </c>
      <c r="F62" s="46">
        <v>812883.99999999988</v>
      </c>
      <c r="G62" s="46"/>
    </row>
    <row r="63" spans="3:7" ht="15.6" x14ac:dyDescent="0.3">
      <c r="C63" s="20"/>
      <c r="D63" s="47" t="s">
        <v>42</v>
      </c>
      <c r="E63" s="44"/>
      <c r="F63" s="46"/>
      <c r="G63" s="48">
        <v>7877199.4299999997</v>
      </c>
    </row>
    <row r="64" spans="3:7" ht="15.6" x14ac:dyDescent="0.3">
      <c r="C64" s="50" t="s">
        <v>43</v>
      </c>
      <c r="D64" s="51"/>
      <c r="E64" s="51"/>
      <c r="F64" s="51"/>
      <c r="G64" s="52">
        <f>SUM(G32:G63)</f>
        <v>345503162.62</v>
      </c>
    </row>
    <row r="65" spans="3:7" x14ac:dyDescent="0.3">
      <c r="C65" s="53" t="s">
        <v>44</v>
      </c>
      <c r="D65" s="54" t="s">
        <v>45</v>
      </c>
      <c r="E65" s="55"/>
      <c r="F65" s="55"/>
      <c r="G65" s="55">
        <v>96012556.620000005</v>
      </c>
    </row>
    <row r="66" spans="3:7" x14ac:dyDescent="0.3">
      <c r="C66" s="53"/>
      <c r="D66" s="54" t="s">
        <v>46</v>
      </c>
      <c r="E66" s="55"/>
      <c r="F66" s="55"/>
      <c r="G66" s="55">
        <v>34135572.700000003</v>
      </c>
    </row>
    <row r="67" spans="3:7" x14ac:dyDescent="0.3">
      <c r="C67" s="53"/>
      <c r="D67" s="54" t="s">
        <v>47</v>
      </c>
      <c r="E67" s="55"/>
      <c r="F67" s="55"/>
      <c r="G67" s="55">
        <v>31365395.390000001</v>
      </c>
    </row>
    <row r="68" spans="3:7" x14ac:dyDescent="0.3">
      <c r="C68" s="53"/>
      <c r="D68" s="54" t="s">
        <v>48</v>
      </c>
      <c r="E68" s="55"/>
      <c r="F68" s="55"/>
      <c r="G68" s="55">
        <v>1149833.73</v>
      </c>
    </row>
    <row r="69" spans="3:7" x14ac:dyDescent="0.3">
      <c r="C69" s="56" t="s">
        <v>49</v>
      </c>
      <c r="D69" s="57"/>
      <c r="E69" s="58"/>
      <c r="F69" s="58"/>
      <c r="G69" s="58">
        <v>162663358.44</v>
      </c>
    </row>
    <row r="70" spans="3:7" x14ac:dyDescent="0.3">
      <c r="C70" s="53" t="s">
        <v>50</v>
      </c>
      <c r="D70" s="54" t="s">
        <v>51</v>
      </c>
      <c r="E70" s="55"/>
      <c r="F70" s="55"/>
      <c r="G70" s="55">
        <v>53848313.820000008</v>
      </c>
    </row>
    <row r="71" spans="3:7" x14ac:dyDescent="0.3">
      <c r="C71" s="53"/>
      <c r="D71" s="54" t="s">
        <v>52</v>
      </c>
      <c r="E71" s="55"/>
      <c r="F71" s="55"/>
      <c r="G71" s="55">
        <v>50884040.93</v>
      </c>
    </row>
    <row r="72" spans="3:7" x14ac:dyDescent="0.3">
      <c r="C72" s="53"/>
      <c r="D72" s="54" t="s">
        <v>53</v>
      </c>
      <c r="E72" s="55"/>
      <c r="F72" s="55"/>
      <c r="G72" s="55">
        <v>2595310.7000000002</v>
      </c>
    </row>
    <row r="73" spans="3:7" x14ac:dyDescent="0.3">
      <c r="C73" s="53"/>
      <c r="D73" s="54" t="s">
        <v>54</v>
      </c>
      <c r="E73" s="55"/>
      <c r="F73" s="55"/>
      <c r="G73" s="55">
        <v>2325213.87</v>
      </c>
    </row>
    <row r="74" spans="3:7" x14ac:dyDescent="0.3">
      <c r="C74" s="53"/>
      <c r="D74" s="54" t="s">
        <v>55</v>
      </c>
      <c r="E74" s="55"/>
      <c r="F74" s="55"/>
      <c r="G74" s="55">
        <v>1645832.41</v>
      </c>
    </row>
    <row r="75" spans="3:7" x14ac:dyDescent="0.3">
      <c r="C75" s="53"/>
      <c r="D75" s="54" t="s">
        <v>56</v>
      </c>
      <c r="E75" s="55"/>
      <c r="F75" s="55"/>
      <c r="G75" s="55">
        <v>885290.99</v>
      </c>
    </row>
    <row r="76" spans="3:7" x14ac:dyDescent="0.3">
      <c r="C76" s="53"/>
      <c r="D76" s="54" t="s">
        <v>57</v>
      </c>
      <c r="E76" s="55"/>
      <c r="F76" s="55"/>
      <c r="G76" s="55">
        <v>152251.96</v>
      </c>
    </row>
    <row r="77" spans="3:7" x14ac:dyDescent="0.3">
      <c r="C77" s="56" t="s">
        <v>58</v>
      </c>
      <c r="D77" s="57"/>
      <c r="E77" s="58"/>
      <c r="F77" s="58"/>
      <c r="G77" s="58">
        <v>112336254.68000001</v>
      </c>
    </row>
    <row r="78" spans="3:7" x14ac:dyDescent="0.3">
      <c r="C78" s="53" t="s">
        <v>59</v>
      </c>
      <c r="D78" s="54" t="s">
        <v>60</v>
      </c>
      <c r="E78" s="55"/>
      <c r="F78" s="55"/>
      <c r="G78" s="55">
        <v>27106981.640000001</v>
      </c>
    </row>
    <row r="79" spans="3:7" x14ac:dyDescent="0.3">
      <c r="C79" s="53"/>
      <c r="D79" s="54" t="s">
        <v>61</v>
      </c>
      <c r="E79" s="55"/>
      <c r="F79" s="55"/>
      <c r="G79" s="55">
        <v>2424180</v>
      </c>
    </row>
    <row r="80" spans="3:7" x14ac:dyDescent="0.3">
      <c r="C80" s="53"/>
      <c r="D80" s="54" t="s">
        <v>62</v>
      </c>
      <c r="E80" s="55"/>
      <c r="F80" s="55"/>
      <c r="G80" s="55">
        <v>1957913.4</v>
      </c>
    </row>
    <row r="81" spans="3:7" x14ac:dyDescent="0.3">
      <c r="C81" s="53"/>
      <c r="D81" s="54" t="s">
        <v>63</v>
      </c>
      <c r="E81" s="55"/>
      <c r="F81" s="55"/>
      <c r="G81" s="55">
        <v>1704440</v>
      </c>
    </row>
    <row r="82" spans="3:7" x14ac:dyDescent="0.3">
      <c r="C82" s="53"/>
      <c r="D82" s="54" t="s">
        <v>64</v>
      </c>
      <c r="E82" s="55"/>
      <c r="F82" s="55"/>
      <c r="G82" s="55">
        <v>1567062</v>
      </c>
    </row>
    <row r="83" spans="3:7" x14ac:dyDescent="0.3">
      <c r="C83" s="53"/>
      <c r="D83" s="54" t="s">
        <v>65</v>
      </c>
      <c r="E83" s="55"/>
      <c r="F83" s="55"/>
      <c r="G83" s="55">
        <v>1475000</v>
      </c>
    </row>
    <row r="84" spans="3:7" x14ac:dyDescent="0.3">
      <c r="C84" s="53"/>
      <c r="D84" s="54" t="s">
        <v>66</v>
      </c>
      <c r="E84" s="55"/>
      <c r="F84" s="55"/>
      <c r="G84" s="55">
        <v>1473799.04</v>
      </c>
    </row>
    <row r="85" spans="3:7" x14ac:dyDescent="0.3">
      <c r="C85" s="53"/>
      <c r="D85" s="54" t="s">
        <v>67</v>
      </c>
      <c r="E85" s="55"/>
      <c r="F85" s="55"/>
      <c r="G85" s="55">
        <v>1158554.2</v>
      </c>
    </row>
    <row r="86" spans="3:7" x14ac:dyDescent="0.3">
      <c r="C86" s="53"/>
      <c r="D86" s="54" t="s">
        <v>68</v>
      </c>
      <c r="E86" s="55"/>
      <c r="F86" s="55"/>
      <c r="G86" s="55">
        <v>1050000</v>
      </c>
    </row>
    <row r="87" spans="3:7" x14ac:dyDescent="0.3">
      <c r="C87" s="53"/>
      <c r="D87" s="54" t="s">
        <v>69</v>
      </c>
      <c r="E87" s="55"/>
      <c r="F87" s="55"/>
      <c r="G87" s="55">
        <v>1045923.35</v>
      </c>
    </row>
    <row r="88" spans="3:7" x14ac:dyDescent="0.3">
      <c r="C88" s="53"/>
      <c r="D88" s="54" t="s">
        <v>70</v>
      </c>
      <c r="E88" s="55"/>
      <c r="F88" s="55"/>
      <c r="G88" s="55">
        <v>822713.27</v>
      </c>
    </row>
    <row r="89" spans="3:7" x14ac:dyDescent="0.3">
      <c r="C89" s="53"/>
      <c r="D89" s="54" t="s">
        <v>71</v>
      </c>
      <c r="E89" s="55"/>
      <c r="F89" s="55"/>
      <c r="G89" s="55">
        <v>681292</v>
      </c>
    </row>
    <row r="90" spans="3:7" x14ac:dyDescent="0.3">
      <c r="C90" s="53"/>
      <c r="D90" s="54" t="s">
        <v>72</v>
      </c>
      <c r="E90" s="55"/>
      <c r="F90" s="55"/>
      <c r="G90" s="55">
        <v>678339.32</v>
      </c>
    </row>
    <row r="91" spans="3:7" x14ac:dyDescent="0.3">
      <c r="C91" s="53"/>
      <c r="D91" s="54" t="s">
        <v>73</v>
      </c>
      <c r="E91" s="55"/>
      <c r="F91" s="55"/>
      <c r="G91" s="55">
        <v>676995.91</v>
      </c>
    </row>
    <row r="92" spans="3:7" x14ac:dyDescent="0.3">
      <c r="C92" s="53"/>
      <c r="D92" s="54" t="s">
        <v>74</v>
      </c>
      <c r="E92" s="55"/>
      <c r="F92" s="55"/>
      <c r="G92" s="55">
        <v>482800</v>
      </c>
    </row>
    <row r="93" spans="3:7" x14ac:dyDescent="0.3">
      <c r="C93" s="53"/>
      <c r="D93" s="54" t="s">
        <v>75</v>
      </c>
      <c r="E93" s="55"/>
      <c r="F93" s="55"/>
      <c r="G93" s="55">
        <v>481100</v>
      </c>
    </row>
    <row r="94" spans="3:7" x14ac:dyDescent="0.3">
      <c r="C94" s="53"/>
      <c r="D94" s="54" t="s">
        <v>76</v>
      </c>
      <c r="E94" s="55"/>
      <c r="F94" s="55"/>
      <c r="G94" s="55">
        <v>460926</v>
      </c>
    </row>
    <row r="95" spans="3:7" x14ac:dyDescent="0.3">
      <c r="C95" s="53"/>
      <c r="D95" s="54" t="s">
        <v>77</v>
      </c>
      <c r="E95" s="55"/>
      <c r="F95" s="55"/>
      <c r="G95" s="55">
        <v>448000</v>
      </c>
    </row>
    <row r="96" spans="3:7" x14ac:dyDescent="0.3">
      <c r="C96" s="53"/>
      <c r="D96" s="54" t="s">
        <v>78</v>
      </c>
      <c r="E96" s="55"/>
      <c r="F96" s="55"/>
      <c r="G96" s="55">
        <v>346970.67</v>
      </c>
    </row>
    <row r="97" spans="3:8" x14ac:dyDescent="0.3">
      <c r="C97" s="53"/>
      <c r="D97" s="54" t="s">
        <v>79</v>
      </c>
      <c r="E97" s="55"/>
      <c r="F97" s="55"/>
      <c r="G97" s="55">
        <v>344350.9</v>
      </c>
    </row>
    <row r="98" spans="3:8" x14ac:dyDescent="0.3">
      <c r="C98" s="53"/>
      <c r="D98" s="54" t="s">
        <v>80</v>
      </c>
      <c r="E98" s="55"/>
      <c r="F98" s="55"/>
      <c r="G98" s="55">
        <v>322468</v>
      </c>
    </row>
    <row r="99" spans="3:8" x14ac:dyDescent="0.3">
      <c r="C99" s="53"/>
      <c r="D99" s="54" t="s">
        <v>81</v>
      </c>
      <c r="E99" s="55"/>
      <c r="F99" s="55"/>
      <c r="G99" s="55">
        <v>302421.75</v>
      </c>
    </row>
    <row r="100" spans="3:8" x14ac:dyDescent="0.3">
      <c r="C100" s="53"/>
      <c r="D100" s="54" t="s">
        <v>82</v>
      </c>
      <c r="E100" s="55"/>
      <c r="F100" s="55"/>
      <c r="G100" s="55">
        <v>260711.87</v>
      </c>
    </row>
    <row r="101" spans="3:8" x14ac:dyDescent="0.3">
      <c r="C101" s="53"/>
      <c r="D101" s="54" t="s">
        <v>83</v>
      </c>
      <c r="E101" s="55"/>
      <c r="F101" s="55"/>
      <c r="G101" s="55">
        <v>228690</v>
      </c>
    </row>
    <row r="102" spans="3:8" x14ac:dyDescent="0.3">
      <c r="C102" s="53"/>
      <c r="D102" s="54" t="s">
        <v>84</v>
      </c>
      <c r="E102" s="55"/>
      <c r="F102" s="55"/>
      <c r="G102" s="55">
        <v>225000</v>
      </c>
    </row>
    <row r="103" spans="3:8" x14ac:dyDescent="0.3">
      <c r="C103" s="53"/>
      <c r="D103" s="54" t="s">
        <v>85</v>
      </c>
      <c r="E103" s="55"/>
      <c r="F103" s="55"/>
      <c r="G103" s="55">
        <v>164059.26</v>
      </c>
    </row>
    <row r="104" spans="3:8" x14ac:dyDescent="0.3">
      <c r="C104" s="53"/>
      <c r="D104" s="54" t="s">
        <v>86</v>
      </c>
      <c r="E104" s="55"/>
      <c r="F104" s="55"/>
      <c r="G104" s="55">
        <v>162715.85999999999</v>
      </c>
    </row>
    <row r="105" spans="3:8" x14ac:dyDescent="0.3">
      <c r="C105" s="53"/>
      <c r="D105" s="54" t="s">
        <v>87</v>
      </c>
      <c r="E105" s="55"/>
      <c r="F105" s="55"/>
      <c r="G105" s="55">
        <v>142155</v>
      </c>
      <c r="H105" s="12"/>
    </row>
    <row r="106" spans="3:8" x14ac:dyDescent="0.3">
      <c r="C106" s="53"/>
      <c r="D106" s="54" t="s">
        <v>88</v>
      </c>
      <c r="E106" s="55"/>
      <c r="F106" s="55"/>
      <c r="G106" s="55">
        <v>142155</v>
      </c>
    </row>
    <row r="107" spans="3:8" x14ac:dyDescent="0.3">
      <c r="C107" s="53"/>
      <c r="D107" s="54" t="s">
        <v>89</v>
      </c>
      <c r="E107" s="55"/>
      <c r="F107" s="55"/>
      <c r="G107" s="55">
        <v>139650.03</v>
      </c>
    </row>
    <row r="108" spans="3:8" x14ac:dyDescent="0.3">
      <c r="C108" s="53"/>
      <c r="D108" s="54" t="s">
        <v>90</v>
      </c>
      <c r="E108" s="55"/>
      <c r="F108" s="55"/>
      <c r="G108" s="55">
        <v>130556.58</v>
      </c>
    </row>
    <row r="109" spans="3:8" x14ac:dyDescent="0.3">
      <c r="C109" s="53"/>
      <c r="D109" s="54" t="s">
        <v>91</v>
      </c>
      <c r="E109" s="55"/>
      <c r="F109" s="55"/>
      <c r="G109" s="55">
        <v>116631.9</v>
      </c>
    </row>
    <row r="110" spans="3:8" x14ac:dyDescent="0.3">
      <c r="C110" s="53"/>
      <c r="D110" s="54" t="s">
        <v>92</v>
      </c>
      <c r="E110" s="55"/>
      <c r="F110" s="55"/>
      <c r="G110" s="55">
        <v>111726.49</v>
      </c>
    </row>
    <row r="111" spans="3:8" x14ac:dyDescent="0.3">
      <c r="C111" s="56" t="s">
        <v>93</v>
      </c>
      <c r="D111" s="57"/>
      <c r="E111" s="58"/>
      <c r="F111" s="58"/>
      <c r="G111" s="58">
        <v>48836283.43999999</v>
      </c>
    </row>
    <row r="112" spans="3:8" x14ac:dyDescent="0.3">
      <c r="C112" s="53" t="s">
        <v>94</v>
      </c>
      <c r="D112" s="54" t="s">
        <v>95</v>
      </c>
      <c r="E112" s="55"/>
      <c r="F112" s="55"/>
      <c r="G112" s="55">
        <v>20564928</v>
      </c>
    </row>
    <row r="113" spans="3:9" x14ac:dyDescent="0.3">
      <c r="C113" s="53"/>
      <c r="D113" s="54" t="s">
        <v>96</v>
      </c>
      <c r="E113" s="55"/>
      <c r="F113" s="55"/>
      <c r="G113" s="55">
        <v>1431546.49</v>
      </c>
    </row>
    <row r="114" spans="3:9" x14ac:dyDescent="0.3">
      <c r="C114" s="53"/>
      <c r="D114" s="54" t="s">
        <v>97</v>
      </c>
      <c r="E114" s="55"/>
      <c r="F114" s="55"/>
      <c r="G114" s="55">
        <v>296999.65000000002</v>
      </c>
      <c r="I114" s="12"/>
    </row>
    <row r="115" spans="3:9" x14ac:dyDescent="0.3">
      <c r="C115" s="56" t="s">
        <v>98</v>
      </c>
      <c r="D115" s="57"/>
      <c r="E115" s="58"/>
      <c r="F115" s="58"/>
      <c r="G115" s="58">
        <v>22293474.139999997</v>
      </c>
    </row>
    <row r="116" spans="3:9" x14ac:dyDescent="0.3">
      <c r="C116" s="53" t="s">
        <v>99</v>
      </c>
      <c r="D116" s="54" t="s">
        <v>100</v>
      </c>
      <c r="E116" s="55"/>
      <c r="F116" s="55"/>
      <c r="G116" s="55">
        <v>9018080</v>
      </c>
    </row>
    <row r="117" spans="3:9" x14ac:dyDescent="0.3">
      <c r="C117" s="53"/>
      <c r="D117" s="54" t="s">
        <v>101</v>
      </c>
      <c r="E117" s="55"/>
      <c r="F117" s="55"/>
      <c r="G117" s="55">
        <v>7982403.9799999995</v>
      </c>
    </row>
    <row r="118" spans="3:9" x14ac:dyDescent="0.3">
      <c r="C118" s="53"/>
      <c r="D118" s="54" t="s">
        <v>102</v>
      </c>
      <c r="E118" s="55"/>
      <c r="F118" s="55"/>
      <c r="G118" s="55">
        <v>1744881.24</v>
      </c>
    </row>
    <row r="119" spans="3:9" x14ac:dyDescent="0.3">
      <c r="C119" s="53"/>
      <c r="D119" s="54" t="s">
        <v>275</v>
      </c>
      <c r="E119" s="55"/>
      <c r="F119" s="55"/>
      <c r="G119" s="55">
        <v>1400000</v>
      </c>
      <c r="H119" s="12"/>
    </row>
    <row r="120" spans="3:9" x14ac:dyDescent="0.3">
      <c r="C120" s="53"/>
      <c r="D120" s="54" t="s">
        <v>103</v>
      </c>
      <c r="E120" s="55"/>
      <c r="F120" s="55"/>
      <c r="G120" s="55">
        <v>1060152.81</v>
      </c>
      <c r="H120" s="12"/>
    </row>
    <row r="121" spans="3:9" x14ac:dyDescent="0.3">
      <c r="C121" s="53"/>
      <c r="D121" s="54" t="s">
        <v>104</v>
      </c>
      <c r="E121" s="55"/>
      <c r="F121" s="55"/>
      <c r="G121" s="55">
        <v>812624.92</v>
      </c>
      <c r="H121" s="12"/>
    </row>
    <row r="122" spans="3:9" x14ac:dyDescent="0.3">
      <c r="C122" s="53"/>
      <c r="D122" s="54" t="s">
        <v>105</v>
      </c>
      <c r="E122" s="55"/>
      <c r="F122" s="55"/>
      <c r="G122" s="55">
        <v>739143.4</v>
      </c>
      <c r="H122" s="12"/>
    </row>
    <row r="123" spans="3:9" x14ac:dyDescent="0.3">
      <c r="C123" s="53"/>
      <c r="D123" s="54" t="s">
        <v>106</v>
      </c>
      <c r="E123" s="55"/>
      <c r="F123" s="55"/>
      <c r="G123" s="55">
        <v>550000</v>
      </c>
      <c r="H123" s="12"/>
    </row>
    <row r="124" spans="3:9" x14ac:dyDescent="0.3">
      <c r="C124" s="53"/>
      <c r="D124" s="54" t="s">
        <v>107</v>
      </c>
      <c r="E124" s="55"/>
      <c r="F124" s="55"/>
      <c r="G124" s="55">
        <v>193620</v>
      </c>
      <c r="H124" s="12"/>
    </row>
    <row r="125" spans="3:9" x14ac:dyDescent="0.3">
      <c r="C125" s="53"/>
      <c r="D125" s="54" t="s">
        <v>108</v>
      </c>
      <c r="E125" s="55"/>
      <c r="F125" s="55"/>
      <c r="G125" s="55">
        <v>124290</v>
      </c>
      <c r="H125" s="12"/>
    </row>
    <row r="126" spans="3:9" x14ac:dyDescent="0.3">
      <c r="C126" s="53"/>
      <c r="D126" s="54" t="s">
        <v>109</v>
      </c>
      <c r="E126" s="55"/>
      <c r="F126" s="55"/>
      <c r="G126" s="55">
        <v>75000</v>
      </c>
      <c r="H126" s="12"/>
    </row>
    <row r="127" spans="3:9" x14ac:dyDescent="0.3">
      <c r="C127" s="53"/>
      <c r="D127" s="54" t="s">
        <v>110</v>
      </c>
      <c r="E127" s="55"/>
      <c r="F127" s="55"/>
      <c r="G127" s="55">
        <v>71973.45</v>
      </c>
      <c r="H127" s="12"/>
    </row>
    <row r="128" spans="3:9" x14ac:dyDescent="0.3">
      <c r="C128" s="53"/>
      <c r="D128" s="54" t="s">
        <v>111</v>
      </c>
      <c r="E128" s="55"/>
      <c r="F128" s="55"/>
      <c r="G128" s="55">
        <v>54238.229999999996</v>
      </c>
      <c r="H128" s="12"/>
    </row>
    <row r="129" spans="3:8" x14ac:dyDescent="0.3">
      <c r="C129" s="53"/>
      <c r="D129" s="54" t="s">
        <v>112</v>
      </c>
      <c r="E129" s="55"/>
      <c r="F129" s="55"/>
      <c r="G129" s="55">
        <v>28800.06</v>
      </c>
      <c r="H129" s="12"/>
    </row>
    <row r="130" spans="3:8" x14ac:dyDescent="0.3">
      <c r="C130" s="53"/>
      <c r="D130" s="54" t="s">
        <v>113</v>
      </c>
      <c r="E130" s="55"/>
      <c r="F130" s="55"/>
      <c r="G130" s="55">
        <v>1800.02</v>
      </c>
      <c r="H130" s="12"/>
    </row>
    <row r="131" spans="3:8" x14ac:dyDescent="0.3">
      <c r="C131" s="56" t="s">
        <v>114</v>
      </c>
      <c r="D131" s="57"/>
      <c r="E131" s="58"/>
      <c r="F131" s="58"/>
      <c r="G131" s="58">
        <v>23857008.109999999</v>
      </c>
      <c r="H131" s="12"/>
    </row>
    <row r="132" spans="3:8" x14ac:dyDescent="0.3">
      <c r="C132" s="53" t="s">
        <v>115</v>
      </c>
      <c r="D132" s="54" t="s">
        <v>116</v>
      </c>
      <c r="E132" s="55"/>
      <c r="F132" s="55"/>
      <c r="G132" s="55">
        <v>2733849.66</v>
      </c>
      <c r="H132" s="12"/>
    </row>
    <row r="133" spans="3:8" x14ac:dyDescent="0.3">
      <c r="C133" s="53"/>
      <c r="D133" s="54" t="s">
        <v>117</v>
      </c>
      <c r="E133" s="55"/>
      <c r="F133" s="55"/>
      <c r="G133" s="55">
        <v>950000</v>
      </c>
      <c r="H133" s="12"/>
    </row>
    <row r="134" spans="3:8" x14ac:dyDescent="0.3">
      <c r="C134" s="53"/>
      <c r="D134" s="54" t="s">
        <v>118</v>
      </c>
      <c r="E134" s="55"/>
      <c r="F134" s="55"/>
      <c r="G134" s="55">
        <v>703137.92999999993</v>
      </c>
      <c r="H134" s="12"/>
    </row>
    <row r="135" spans="3:8" x14ac:dyDescent="0.3">
      <c r="C135" s="56" t="s">
        <v>119</v>
      </c>
      <c r="D135" s="57"/>
      <c r="E135" s="58"/>
      <c r="F135" s="58"/>
      <c r="G135" s="58">
        <v>4386987.59</v>
      </c>
      <c r="H135" s="12"/>
    </row>
    <row r="136" spans="3:8" x14ac:dyDescent="0.3">
      <c r="C136" s="53" t="s">
        <v>120</v>
      </c>
      <c r="D136" s="54" t="s">
        <v>121</v>
      </c>
      <c r="E136" s="55"/>
      <c r="F136" s="55"/>
      <c r="G136" s="55">
        <v>13324456.48</v>
      </c>
      <c r="H136" s="12"/>
    </row>
    <row r="137" spans="3:8" x14ac:dyDescent="0.3">
      <c r="C137" s="53"/>
      <c r="D137" s="54" t="s">
        <v>122</v>
      </c>
      <c r="E137" s="55"/>
      <c r="F137" s="55"/>
      <c r="G137" s="55">
        <v>3566551.7</v>
      </c>
      <c r="H137" s="12"/>
    </row>
    <row r="138" spans="3:8" x14ac:dyDescent="0.3">
      <c r="C138" s="53"/>
      <c r="D138" s="54" t="s">
        <v>123</v>
      </c>
      <c r="E138" s="55"/>
      <c r="F138" s="55"/>
      <c r="G138" s="55">
        <v>1634116.5699999998</v>
      </c>
      <c r="H138" s="12"/>
    </row>
    <row r="139" spans="3:8" x14ac:dyDescent="0.3">
      <c r="C139" s="53"/>
      <c r="D139" s="54" t="s">
        <v>124</v>
      </c>
      <c r="E139" s="55"/>
      <c r="F139" s="55"/>
      <c r="G139" s="55">
        <v>1101487.8199999998</v>
      </c>
      <c r="H139" s="12"/>
    </row>
    <row r="140" spans="3:8" x14ac:dyDescent="0.3">
      <c r="C140" s="53"/>
      <c r="D140" s="54" t="s">
        <v>125</v>
      </c>
      <c r="E140" s="55"/>
      <c r="F140" s="55"/>
      <c r="G140" s="55">
        <v>72721</v>
      </c>
    </row>
    <row r="141" spans="3:8" x14ac:dyDescent="0.3">
      <c r="C141" s="53"/>
      <c r="D141" s="54" t="s">
        <v>126</v>
      </c>
      <c r="E141" s="55"/>
      <c r="F141" s="55"/>
      <c r="G141" s="55">
        <v>55078.36</v>
      </c>
    </row>
    <row r="142" spans="3:8" x14ac:dyDescent="0.3">
      <c r="C142" s="53"/>
      <c r="D142" s="54" t="s">
        <v>127</v>
      </c>
      <c r="E142" s="55"/>
      <c r="F142" s="55"/>
      <c r="G142" s="55">
        <v>14400.07</v>
      </c>
    </row>
    <row r="143" spans="3:8" x14ac:dyDescent="0.3">
      <c r="C143" s="56" t="s">
        <v>128</v>
      </c>
      <c r="D143" s="57"/>
      <c r="E143" s="58"/>
      <c r="F143" s="58"/>
      <c r="G143" s="58">
        <v>19768812</v>
      </c>
    </row>
    <row r="144" spans="3:8" x14ac:dyDescent="0.3">
      <c r="C144" s="53" t="s">
        <v>129</v>
      </c>
      <c r="D144" s="54" t="s">
        <v>130</v>
      </c>
      <c r="E144" s="55"/>
      <c r="F144" s="55"/>
      <c r="G144" s="55">
        <v>1601420.06</v>
      </c>
    </row>
    <row r="145" spans="3:7" x14ac:dyDescent="0.3">
      <c r="C145" s="53"/>
      <c r="D145" s="54" t="s">
        <v>131</v>
      </c>
      <c r="E145" s="55"/>
      <c r="F145" s="55"/>
      <c r="G145" s="55">
        <v>363386.77</v>
      </c>
    </row>
    <row r="146" spans="3:7" x14ac:dyDescent="0.3">
      <c r="C146" s="53"/>
      <c r="D146" s="54" t="s">
        <v>132</v>
      </c>
      <c r="E146" s="55"/>
      <c r="F146" s="55"/>
      <c r="G146" s="55">
        <v>334443.66000000003</v>
      </c>
    </row>
    <row r="147" spans="3:7" x14ac:dyDescent="0.3">
      <c r="C147" s="53"/>
      <c r="D147" s="54" t="s">
        <v>133</v>
      </c>
      <c r="E147" s="55"/>
      <c r="F147" s="55"/>
      <c r="G147" s="55">
        <v>235876.69</v>
      </c>
    </row>
    <row r="148" spans="3:7" x14ac:dyDescent="0.3">
      <c r="C148" s="53"/>
      <c r="D148" s="54" t="s">
        <v>134</v>
      </c>
      <c r="E148" s="55"/>
      <c r="F148" s="55"/>
      <c r="G148" s="55">
        <v>160000</v>
      </c>
    </row>
    <row r="149" spans="3:7" x14ac:dyDescent="0.3">
      <c r="C149" s="53"/>
      <c r="D149" s="54" t="s">
        <v>135</v>
      </c>
      <c r="E149" s="55"/>
      <c r="F149" s="55"/>
      <c r="G149" s="55">
        <v>65734.240000000005</v>
      </c>
    </row>
    <row r="150" spans="3:7" x14ac:dyDescent="0.3">
      <c r="C150" s="53"/>
      <c r="D150" s="54" t="s">
        <v>136</v>
      </c>
      <c r="E150" s="55"/>
      <c r="F150" s="55"/>
      <c r="G150" s="55">
        <v>60674.16</v>
      </c>
    </row>
    <row r="151" spans="3:7" x14ac:dyDescent="0.3">
      <c r="C151" s="53"/>
      <c r="D151" s="54" t="s">
        <v>137</v>
      </c>
      <c r="E151" s="55"/>
      <c r="F151" s="55"/>
      <c r="G151" s="55">
        <v>28381.8</v>
      </c>
    </row>
    <row r="152" spans="3:7" x14ac:dyDescent="0.3">
      <c r="C152" s="53"/>
      <c r="D152" s="54" t="s">
        <v>138</v>
      </c>
      <c r="E152" s="55"/>
      <c r="F152" s="55"/>
      <c r="G152" s="55">
        <v>9924.4</v>
      </c>
    </row>
    <row r="153" spans="3:7" x14ac:dyDescent="0.3">
      <c r="C153" s="53"/>
      <c r="D153" s="54" t="s">
        <v>139</v>
      </c>
      <c r="E153" s="55"/>
      <c r="F153" s="55"/>
      <c r="G153" s="55">
        <v>7863.79</v>
      </c>
    </row>
    <row r="154" spans="3:7" x14ac:dyDescent="0.3">
      <c r="C154" s="56" t="s">
        <v>140</v>
      </c>
      <c r="D154" s="57"/>
      <c r="E154" s="58"/>
      <c r="F154" s="58"/>
      <c r="G154" s="58">
        <v>2867705.5700000003</v>
      </c>
    </row>
    <row r="155" spans="3:7" x14ac:dyDescent="0.3">
      <c r="C155" s="53" t="s">
        <v>141</v>
      </c>
      <c r="D155" s="54" t="s">
        <v>142</v>
      </c>
      <c r="E155" s="55"/>
      <c r="F155" s="55"/>
      <c r="G155" s="55">
        <v>1035416.1</v>
      </c>
    </row>
    <row r="156" spans="3:7" x14ac:dyDescent="0.3">
      <c r="C156" s="53"/>
      <c r="D156" s="54" t="s">
        <v>143</v>
      </c>
      <c r="E156" s="55"/>
      <c r="F156" s="55"/>
      <c r="G156" s="55">
        <v>531656</v>
      </c>
    </row>
    <row r="157" spans="3:7" x14ac:dyDescent="0.3">
      <c r="C157" s="53"/>
      <c r="D157" s="54" t="s">
        <v>144</v>
      </c>
      <c r="E157" s="55"/>
      <c r="F157" s="55"/>
      <c r="G157" s="55">
        <v>314580</v>
      </c>
    </row>
    <row r="158" spans="3:7" x14ac:dyDescent="0.3">
      <c r="C158" s="53"/>
      <c r="D158" s="54" t="s">
        <v>145</v>
      </c>
      <c r="E158" s="55"/>
      <c r="F158" s="55"/>
      <c r="G158" s="55">
        <v>168083.51</v>
      </c>
    </row>
    <row r="159" spans="3:7" x14ac:dyDescent="0.3">
      <c r="C159" s="53"/>
      <c r="D159" s="54" t="s">
        <v>146</v>
      </c>
      <c r="E159" s="55"/>
      <c r="F159" s="55"/>
      <c r="G159" s="55">
        <v>146565.16</v>
      </c>
    </row>
    <row r="160" spans="3:7" x14ac:dyDescent="0.3">
      <c r="C160" s="53"/>
      <c r="D160" s="54" t="s">
        <v>147</v>
      </c>
      <c r="E160" s="55"/>
      <c r="F160" s="55"/>
      <c r="G160" s="55">
        <v>63250.18</v>
      </c>
    </row>
    <row r="161" spans="3:7" x14ac:dyDescent="0.3">
      <c r="C161" s="53"/>
      <c r="D161" s="54" t="s">
        <v>148</v>
      </c>
      <c r="E161" s="55"/>
      <c r="F161" s="55"/>
      <c r="G161" s="55">
        <v>55912</v>
      </c>
    </row>
    <row r="162" spans="3:7" x14ac:dyDescent="0.3">
      <c r="C162" s="53"/>
      <c r="D162" s="54" t="s">
        <v>149</v>
      </c>
      <c r="E162" s="55"/>
      <c r="F162" s="55"/>
      <c r="G162" s="55">
        <v>54667.53</v>
      </c>
    </row>
    <row r="163" spans="3:7" x14ac:dyDescent="0.3">
      <c r="C163" s="56" t="s">
        <v>150</v>
      </c>
      <c r="D163" s="57"/>
      <c r="E163" s="58"/>
      <c r="F163" s="58"/>
      <c r="G163" s="58">
        <v>2370130.4799999995</v>
      </c>
    </row>
    <row r="164" spans="3:7" ht="28.8" x14ac:dyDescent="0.3">
      <c r="C164" s="59" t="s">
        <v>151</v>
      </c>
      <c r="D164" s="54" t="s">
        <v>152</v>
      </c>
      <c r="E164" s="55"/>
      <c r="F164" s="55"/>
      <c r="G164" s="55">
        <v>6579496.7999999998</v>
      </c>
    </row>
    <row r="165" spans="3:7" x14ac:dyDescent="0.3">
      <c r="C165" s="53"/>
      <c r="D165" s="54" t="s">
        <v>153</v>
      </c>
      <c r="E165" s="55"/>
      <c r="F165" s="55"/>
      <c r="G165" s="55">
        <v>6415022.5899999999</v>
      </c>
    </row>
    <row r="166" spans="3:7" x14ac:dyDescent="0.3">
      <c r="C166" s="53"/>
      <c r="D166" s="54" t="s">
        <v>154</v>
      </c>
      <c r="E166" s="55"/>
      <c r="F166" s="55"/>
      <c r="G166" s="55">
        <v>5341999.99</v>
      </c>
    </row>
    <row r="167" spans="3:7" x14ac:dyDescent="0.3">
      <c r="C167" s="53"/>
      <c r="D167" s="54" t="s">
        <v>155</v>
      </c>
      <c r="E167" s="55"/>
      <c r="F167" s="55"/>
      <c r="G167" s="55">
        <v>3035620.68</v>
      </c>
    </row>
    <row r="168" spans="3:7" x14ac:dyDescent="0.3">
      <c r="C168" s="53"/>
      <c r="D168" s="54" t="s">
        <v>156</v>
      </c>
      <c r="E168" s="55"/>
      <c r="F168" s="55"/>
      <c r="G168" s="55">
        <v>2820743.4</v>
      </c>
    </row>
    <row r="169" spans="3:7" x14ac:dyDescent="0.3">
      <c r="C169" s="53"/>
      <c r="D169" s="54" t="s">
        <v>157</v>
      </c>
      <c r="E169" s="55"/>
      <c r="F169" s="55"/>
      <c r="G169" s="55">
        <v>1792022.3499999999</v>
      </c>
    </row>
    <row r="170" spans="3:7" x14ac:dyDescent="0.3">
      <c r="C170" s="53"/>
      <c r="D170" s="54" t="s">
        <v>158</v>
      </c>
      <c r="E170" s="55"/>
      <c r="F170" s="55"/>
      <c r="G170" s="55">
        <v>1681200.2200000007</v>
      </c>
    </row>
    <row r="171" spans="3:7" x14ac:dyDescent="0.3">
      <c r="C171" s="53"/>
      <c r="D171" s="54" t="s">
        <v>159</v>
      </c>
      <c r="E171" s="55"/>
      <c r="F171" s="55"/>
      <c r="G171" s="55">
        <v>1613120</v>
      </c>
    </row>
    <row r="172" spans="3:7" x14ac:dyDescent="0.3">
      <c r="C172" s="53"/>
      <c r="D172" s="54" t="s">
        <v>160</v>
      </c>
      <c r="E172" s="55"/>
      <c r="F172" s="55"/>
      <c r="G172" s="55">
        <v>1547784</v>
      </c>
    </row>
    <row r="173" spans="3:7" x14ac:dyDescent="0.3">
      <c r="C173" s="53"/>
      <c r="D173" s="54" t="s">
        <v>161</v>
      </c>
      <c r="E173" s="55"/>
      <c r="F173" s="55"/>
      <c r="G173" s="55">
        <v>1432480</v>
      </c>
    </row>
    <row r="174" spans="3:7" x14ac:dyDescent="0.3">
      <c r="C174" s="53"/>
      <c r="D174" s="54" t="s">
        <v>162</v>
      </c>
      <c r="E174" s="55"/>
      <c r="F174" s="55"/>
      <c r="G174" s="55">
        <v>1380872.4</v>
      </c>
    </row>
    <row r="175" spans="3:7" x14ac:dyDescent="0.3">
      <c r="C175" s="53"/>
      <c r="D175" s="54" t="s">
        <v>163</v>
      </c>
      <c r="E175" s="55"/>
      <c r="F175" s="55"/>
      <c r="G175" s="55">
        <v>1305202.27</v>
      </c>
    </row>
    <row r="176" spans="3:7" x14ac:dyDescent="0.3">
      <c r="C176" s="53"/>
      <c r="D176" s="54" t="s">
        <v>164</v>
      </c>
      <c r="E176" s="55"/>
      <c r="F176" s="55"/>
      <c r="G176" s="55">
        <v>1295611.8899999999</v>
      </c>
    </row>
    <row r="177" spans="3:8" x14ac:dyDescent="0.3">
      <c r="C177" s="53"/>
      <c r="D177" s="54" t="s">
        <v>165</v>
      </c>
      <c r="E177" s="55"/>
      <c r="F177" s="55"/>
      <c r="G177" s="55">
        <v>1102500</v>
      </c>
    </row>
    <row r="178" spans="3:8" x14ac:dyDescent="0.3">
      <c r="C178" s="53"/>
      <c r="D178" s="54" t="s">
        <v>166</v>
      </c>
      <c r="E178" s="55"/>
      <c r="F178" s="55"/>
      <c r="G178" s="55">
        <v>1008332.93</v>
      </c>
    </row>
    <row r="179" spans="3:8" x14ac:dyDescent="0.3">
      <c r="C179" s="53"/>
      <c r="D179" s="54" t="s">
        <v>167</v>
      </c>
      <c r="E179" s="55"/>
      <c r="F179" s="55"/>
      <c r="G179" s="55">
        <v>973360.71</v>
      </c>
    </row>
    <row r="180" spans="3:8" x14ac:dyDescent="0.3">
      <c r="C180" s="53"/>
      <c r="D180" s="54" t="s">
        <v>168</v>
      </c>
      <c r="E180" s="55"/>
      <c r="F180" s="55"/>
      <c r="G180" s="55">
        <v>955000</v>
      </c>
    </row>
    <row r="181" spans="3:8" x14ac:dyDescent="0.3">
      <c r="C181" s="53"/>
      <c r="D181" s="54" t="s">
        <v>169</v>
      </c>
      <c r="E181" s="55"/>
      <c r="F181" s="55"/>
      <c r="G181" s="55">
        <v>805000</v>
      </c>
      <c r="H181" s="60"/>
    </row>
    <row r="182" spans="3:8" x14ac:dyDescent="0.3">
      <c r="C182" s="53"/>
      <c r="D182" s="54" t="s">
        <v>170</v>
      </c>
      <c r="E182" s="55"/>
      <c r="F182" s="55"/>
      <c r="G182" s="55">
        <v>700000</v>
      </c>
    </row>
    <row r="183" spans="3:8" x14ac:dyDescent="0.3">
      <c r="C183" s="53"/>
      <c r="D183" s="54" t="s">
        <v>171</v>
      </c>
      <c r="E183" s="55"/>
      <c r="F183" s="55"/>
      <c r="G183" s="55">
        <v>658980</v>
      </c>
    </row>
    <row r="184" spans="3:8" x14ac:dyDescent="0.3">
      <c r="C184" s="53"/>
      <c r="D184" s="54" t="s">
        <v>172</v>
      </c>
      <c r="E184" s="55"/>
      <c r="F184" s="55"/>
      <c r="G184" s="55">
        <v>641899.99</v>
      </c>
    </row>
    <row r="185" spans="3:8" x14ac:dyDescent="0.3">
      <c r="C185" s="53"/>
      <c r="D185" s="54" t="s">
        <v>173</v>
      </c>
      <c r="E185" s="55"/>
      <c r="F185" s="55"/>
      <c r="G185" s="55">
        <v>570191.98</v>
      </c>
    </row>
    <row r="186" spans="3:8" x14ac:dyDescent="0.3">
      <c r="C186" s="53"/>
      <c r="D186" s="54" t="s">
        <v>174</v>
      </c>
      <c r="E186" s="55"/>
      <c r="F186" s="55"/>
      <c r="G186" s="55">
        <v>482103.4</v>
      </c>
    </row>
    <row r="187" spans="3:8" x14ac:dyDescent="0.3">
      <c r="C187" s="53"/>
      <c r="D187" s="54" t="s">
        <v>175</v>
      </c>
      <c r="E187" s="55"/>
      <c r="F187" s="55"/>
      <c r="G187" s="55">
        <v>465571</v>
      </c>
    </row>
    <row r="188" spans="3:8" x14ac:dyDescent="0.3">
      <c r="C188" s="53"/>
      <c r="D188" s="54" t="s">
        <v>176</v>
      </c>
      <c r="E188" s="55"/>
      <c r="F188" s="55"/>
      <c r="G188" s="55">
        <v>422419.62</v>
      </c>
    </row>
    <row r="189" spans="3:8" x14ac:dyDescent="0.3">
      <c r="C189" s="53"/>
      <c r="D189" s="54" t="s">
        <v>177</v>
      </c>
      <c r="E189" s="55"/>
      <c r="F189" s="55"/>
      <c r="G189" s="55">
        <v>419000</v>
      </c>
    </row>
    <row r="190" spans="3:8" x14ac:dyDescent="0.3">
      <c r="C190" s="53"/>
      <c r="D190" s="54" t="s">
        <v>178</v>
      </c>
      <c r="E190" s="55"/>
      <c r="F190" s="55"/>
      <c r="G190" s="55">
        <v>393934.58</v>
      </c>
    </row>
    <row r="191" spans="3:8" x14ac:dyDescent="0.3">
      <c r="C191" s="53"/>
      <c r="D191" s="54" t="s">
        <v>179</v>
      </c>
      <c r="E191" s="55"/>
      <c r="F191" s="55"/>
      <c r="G191" s="55">
        <v>375760</v>
      </c>
    </row>
    <row r="192" spans="3:8" x14ac:dyDescent="0.3">
      <c r="C192" s="53"/>
      <c r="D192" s="54" t="s">
        <v>180</v>
      </c>
      <c r="E192" s="55"/>
      <c r="F192" s="55"/>
      <c r="G192" s="55">
        <v>359370</v>
      </c>
    </row>
    <row r="193" spans="3:9" x14ac:dyDescent="0.3">
      <c r="C193" s="53"/>
      <c r="D193" s="54" t="s">
        <v>181</v>
      </c>
      <c r="E193" s="55"/>
      <c r="F193" s="55"/>
      <c r="G193" s="55">
        <v>325223.39</v>
      </c>
      <c r="I193" s="60"/>
    </row>
    <row r="194" spans="3:9" x14ac:dyDescent="0.3">
      <c r="C194" s="53"/>
      <c r="D194" s="54" t="s">
        <v>182</v>
      </c>
      <c r="E194" s="55"/>
      <c r="F194" s="55"/>
      <c r="G194" s="55">
        <v>245774.96</v>
      </c>
      <c r="H194" s="12"/>
    </row>
    <row r="195" spans="3:9" x14ac:dyDescent="0.3">
      <c r="C195" s="53"/>
      <c r="D195" s="54" t="s">
        <v>183</v>
      </c>
      <c r="E195" s="55"/>
      <c r="F195" s="55"/>
      <c r="G195" s="55">
        <v>241900</v>
      </c>
    </row>
    <row r="196" spans="3:9" x14ac:dyDescent="0.3">
      <c r="C196" s="53"/>
      <c r="D196" s="54" t="s">
        <v>184</v>
      </c>
      <c r="E196" s="55"/>
      <c r="F196" s="55"/>
      <c r="G196" s="55">
        <v>160000</v>
      </c>
    </row>
    <row r="197" spans="3:9" x14ac:dyDescent="0.3">
      <c r="C197" s="53"/>
      <c r="D197" s="54" t="s">
        <v>185</v>
      </c>
      <c r="E197" s="55"/>
      <c r="F197" s="55"/>
      <c r="G197" s="55">
        <v>150000</v>
      </c>
    </row>
    <row r="198" spans="3:9" x14ac:dyDescent="0.3">
      <c r="C198" s="53"/>
      <c r="D198" s="54" t="s">
        <v>186</v>
      </c>
      <c r="E198" s="55"/>
      <c r="F198" s="55"/>
      <c r="G198" s="55">
        <v>139936.66</v>
      </c>
    </row>
    <row r="199" spans="3:9" x14ac:dyDescent="0.3">
      <c r="C199" s="53"/>
      <c r="D199" s="54" t="s">
        <v>187</v>
      </c>
      <c r="E199" s="55"/>
      <c r="F199" s="55"/>
      <c r="G199" s="55">
        <v>122887.48</v>
      </c>
    </row>
    <row r="200" spans="3:9" x14ac:dyDescent="0.3">
      <c r="C200" s="53"/>
      <c r="D200" s="54" t="s">
        <v>188</v>
      </c>
      <c r="E200" s="55"/>
      <c r="F200" s="55"/>
      <c r="G200" s="55">
        <v>114000</v>
      </c>
    </row>
    <row r="201" spans="3:9" x14ac:dyDescent="0.3">
      <c r="C201" s="53"/>
      <c r="D201" s="54" t="s">
        <v>189</v>
      </c>
      <c r="E201" s="55"/>
      <c r="F201" s="55"/>
      <c r="G201" s="55">
        <v>79999.66</v>
      </c>
    </row>
    <row r="202" spans="3:9" x14ac:dyDescent="0.3">
      <c r="C202" s="53"/>
      <c r="D202" s="54" t="s">
        <v>190</v>
      </c>
      <c r="E202" s="55"/>
      <c r="F202" s="55"/>
      <c r="G202" s="55">
        <v>72600</v>
      </c>
    </row>
    <row r="203" spans="3:9" x14ac:dyDescent="0.3">
      <c r="C203" s="53"/>
      <c r="D203" s="54" t="s">
        <v>191</v>
      </c>
      <c r="E203" s="55"/>
      <c r="F203" s="55"/>
      <c r="G203" s="55">
        <v>67000.12</v>
      </c>
    </row>
    <row r="204" spans="3:9" x14ac:dyDescent="0.3">
      <c r="C204" s="53"/>
      <c r="D204" s="54" t="s">
        <v>192</v>
      </c>
      <c r="E204" s="55"/>
      <c r="F204" s="55"/>
      <c r="G204" s="55">
        <v>26620</v>
      </c>
    </row>
    <row r="205" spans="3:9" x14ac:dyDescent="0.3">
      <c r="C205" s="53"/>
      <c r="D205" s="54" t="s">
        <v>193</v>
      </c>
      <c r="E205" s="55"/>
      <c r="F205" s="55"/>
      <c r="G205" s="55">
        <v>24569.97</v>
      </c>
    </row>
    <row r="206" spans="3:9" x14ac:dyDescent="0.3">
      <c r="C206" s="53"/>
      <c r="D206" s="54" t="s">
        <v>194</v>
      </c>
      <c r="E206" s="55"/>
      <c r="F206" s="55"/>
      <c r="G206" s="55">
        <v>18000</v>
      </c>
    </row>
    <row r="207" spans="3:9" x14ac:dyDescent="0.3">
      <c r="C207" s="56" t="s">
        <v>195</v>
      </c>
      <c r="D207" s="57"/>
      <c r="E207" s="58"/>
      <c r="F207" s="58"/>
      <c r="G207" s="58">
        <v>48363113.039999984</v>
      </c>
    </row>
    <row r="208" spans="3:9" x14ac:dyDescent="0.3">
      <c r="C208" s="53" t="s">
        <v>196</v>
      </c>
      <c r="D208" s="54" t="s">
        <v>197</v>
      </c>
      <c r="E208" s="55"/>
      <c r="F208" s="55"/>
      <c r="G208" s="55">
        <v>504503.24</v>
      </c>
    </row>
    <row r="209" spans="3:8" x14ac:dyDescent="0.3">
      <c r="C209" s="53"/>
      <c r="D209" s="54" t="s">
        <v>198</v>
      </c>
      <c r="E209" s="55"/>
      <c r="F209" s="55"/>
      <c r="G209" s="55">
        <v>317666.33</v>
      </c>
    </row>
    <row r="210" spans="3:8" x14ac:dyDescent="0.3">
      <c r="C210" s="53"/>
      <c r="D210" s="54" t="s">
        <v>199</v>
      </c>
      <c r="E210" s="55"/>
      <c r="F210" s="55"/>
      <c r="G210" s="55">
        <v>241574.56</v>
      </c>
    </row>
    <row r="211" spans="3:8" x14ac:dyDescent="0.3">
      <c r="C211" s="53"/>
      <c r="D211" s="54" t="s">
        <v>200</v>
      </c>
      <c r="E211" s="55"/>
      <c r="F211" s="55"/>
      <c r="G211" s="55">
        <v>199999.85</v>
      </c>
    </row>
    <row r="212" spans="3:8" x14ac:dyDescent="0.3">
      <c r="C212" s="53"/>
      <c r="D212" s="54" t="s">
        <v>201</v>
      </c>
      <c r="E212" s="55"/>
      <c r="F212" s="55"/>
      <c r="G212" s="55">
        <v>150000</v>
      </c>
    </row>
    <row r="213" spans="3:8" x14ac:dyDescent="0.3">
      <c r="C213" s="53"/>
      <c r="D213" s="54" t="s">
        <v>202</v>
      </c>
      <c r="E213" s="55"/>
      <c r="F213" s="55"/>
      <c r="G213" s="55">
        <v>129933.25</v>
      </c>
      <c r="H213" s="12"/>
    </row>
    <row r="214" spans="3:8" x14ac:dyDescent="0.3">
      <c r="C214" s="53"/>
      <c r="D214" s="54" t="s">
        <v>203</v>
      </c>
      <c r="E214" s="55"/>
      <c r="F214" s="55"/>
      <c r="G214" s="55">
        <v>26444.35</v>
      </c>
    </row>
    <row r="215" spans="3:8" x14ac:dyDescent="0.3">
      <c r="C215" s="56" t="s">
        <v>204</v>
      </c>
      <c r="D215" s="57"/>
      <c r="E215" s="58"/>
      <c r="F215" s="58"/>
      <c r="G215" s="58">
        <v>1570121.58</v>
      </c>
    </row>
    <row r="216" spans="3:8" ht="28.8" x14ac:dyDescent="0.3">
      <c r="C216" s="59" t="s">
        <v>205</v>
      </c>
      <c r="D216" s="54" t="s">
        <v>206</v>
      </c>
      <c r="E216" s="55"/>
      <c r="F216" s="55"/>
      <c r="G216" s="55">
        <v>29467913.850000005</v>
      </c>
    </row>
    <row r="217" spans="3:8" x14ac:dyDescent="0.3">
      <c r="C217" s="53"/>
      <c r="D217" s="54" t="s">
        <v>207</v>
      </c>
      <c r="E217" s="55"/>
      <c r="F217" s="55"/>
      <c r="G217" s="55">
        <v>25618271.789999999</v>
      </c>
    </row>
    <row r="218" spans="3:8" x14ac:dyDescent="0.3">
      <c r="C218" s="53"/>
      <c r="D218" s="54" t="s">
        <v>208</v>
      </c>
      <c r="E218" s="55"/>
      <c r="F218" s="55"/>
      <c r="G218" s="55">
        <v>21596032.199999999</v>
      </c>
    </row>
    <row r="219" spans="3:8" x14ac:dyDescent="0.3">
      <c r="C219" s="53"/>
      <c r="D219" s="54" t="s">
        <v>209</v>
      </c>
      <c r="E219" s="55"/>
      <c r="F219" s="55"/>
      <c r="G219" s="55">
        <v>14178889.720000001</v>
      </c>
    </row>
    <row r="220" spans="3:8" x14ac:dyDescent="0.3">
      <c r="C220" s="53"/>
      <c r="D220" s="54" t="s">
        <v>210</v>
      </c>
      <c r="E220" s="55"/>
      <c r="F220" s="55"/>
      <c r="G220" s="55">
        <v>10851613</v>
      </c>
    </row>
    <row r="221" spans="3:8" x14ac:dyDescent="0.3">
      <c r="C221" s="53"/>
      <c r="D221" s="54" t="s">
        <v>211</v>
      </c>
      <c r="E221" s="55"/>
      <c r="F221" s="55"/>
      <c r="G221" s="55">
        <v>6440000</v>
      </c>
    </row>
    <row r="222" spans="3:8" x14ac:dyDescent="0.3">
      <c r="C222" s="53"/>
      <c r="D222" s="54" t="s">
        <v>212</v>
      </c>
      <c r="E222" s="55"/>
      <c r="F222" s="55"/>
      <c r="G222" s="55">
        <v>4473419.4000000004</v>
      </c>
    </row>
    <row r="223" spans="3:8" x14ac:dyDescent="0.3">
      <c r="C223" s="53"/>
      <c r="D223" s="54" t="s">
        <v>213</v>
      </c>
      <c r="E223" s="55"/>
      <c r="F223" s="55"/>
      <c r="G223" s="55">
        <v>4378580</v>
      </c>
    </row>
    <row r="224" spans="3:8" x14ac:dyDescent="0.3">
      <c r="C224" s="53"/>
      <c r="D224" s="54" t="s">
        <v>214</v>
      </c>
      <c r="E224" s="55"/>
      <c r="F224" s="55"/>
      <c r="G224" s="55">
        <v>3643690.8000000003</v>
      </c>
    </row>
    <row r="225" spans="3:7" x14ac:dyDescent="0.3">
      <c r="C225" s="53"/>
      <c r="D225" s="54" t="s">
        <v>215</v>
      </c>
      <c r="E225" s="55"/>
      <c r="F225" s="55"/>
      <c r="G225" s="55">
        <v>2541000</v>
      </c>
    </row>
    <row r="226" spans="3:7" x14ac:dyDescent="0.3">
      <c r="C226" s="53"/>
      <c r="D226" s="54" t="s">
        <v>216</v>
      </c>
      <c r="E226" s="55"/>
      <c r="F226" s="55"/>
      <c r="G226" s="55">
        <v>1587120</v>
      </c>
    </row>
    <row r="227" spans="3:7" x14ac:dyDescent="0.3">
      <c r="C227" s="53"/>
      <c r="D227" s="54" t="s">
        <v>217</v>
      </c>
      <c r="E227" s="55"/>
      <c r="F227" s="55"/>
      <c r="G227" s="55">
        <v>1130000</v>
      </c>
    </row>
    <row r="228" spans="3:7" x14ac:dyDescent="0.3">
      <c r="C228" s="53"/>
      <c r="D228" s="54" t="s">
        <v>218</v>
      </c>
      <c r="E228" s="55"/>
      <c r="F228" s="55"/>
      <c r="G228" s="55">
        <v>954833.08</v>
      </c>
    </row>
    <row r="229" spans="3:7" x14ac:dyDescent="0.3">
      <c r="C229" s="53"/>
      <c r="D229" s="54" t="s">
        <v>219</v>
      </c>
      <c r="E229" s="55"/>
      <c r="F229" s="55"/>
      <c r="G229" s="55">
        <v>832480</v>
      </c>
    </row>
    <row r="230" spans="3:7" x14ac:dyDescent="0.3">
      <c r="C230" s="53"/>
      <c r="D230" s="54" t="s">
        <v>220</v>
      </c>
      <c r="E230" s="55"/>
      <c r="F230" s="55"/>
      <c r="G230" s="55">
        <v>657691.06000000006</v>
      </c>
    </row>
    <row r="231" spans="3:7" x14ac:dyDescent="0.3">
      <c r="C231" s="53"/>
      <c r="D231" s="54" t="s">
        <v>221</v>
      </c>
      <c r="E231" s="55"/>
      <c r="F231" s="55"/>
      <c r="G231" s="55">
        <v>638052.55000000005</v>
      </c>
    </row>
    <row r="232" spans="3:7" x14ac:dyDescent="0.3">
      <c r="C232" s="53"/>
      <c r="D232" s="54" t="s">
        <v>222</v>
      </c>
      <c r="E232" s="55"/>
      <c r="F232" s="55"/>
      <c r="G232" s="55">
        <v>515421</v>
      </c>
    </row>
    <row r="233" spans="3:7" x14ac:dyDescent="0.3">
      <c r="C233" s="53"/>
      <c r="D233" s="54" t="s">
        <v>223</v>
      </c>
      <c r="E233" s="55"/>
      <c r="F233" s="55"/>
      <c r="G233" s="55">
        <v>481701.11</v>
      </c>
    </row>
    <row r="234" spans="3:7" x14ac:dyDescent="0.3">
      <c r="C234" s="53"/>
      <c r="D234" s="54" t="s">
        <v>224</v>
      </c>
      <c r="E234" s="55"/>
      <c r="F234" s="55"/>
      <c r="G234" s="55">
        <v>460000</v>
      </c>
    </row>
    <row r="235" spans="3:7" x14ac:dyDescent="0.3">
      <c r="C235" s="53"/>
      <c r="D235" s="54" t="s">
        <v>225</v>
      </c>
      <c r="E235" s="55"/>
      <c r="F235" s="55"/>
      <c r="G235" s="55">
        <v>400000</v>
      </c>
    </row>
    <row r="236" spans="3:7" x14ac:dyDescent="0.3">
      <c r="C236" s="53"/>
      <c r="D236" s="54" t="s">
        <v>226</v>
      </c>
      <c r="E236" s="55"/>
      <c r="F236" s="55"/>
      <c r="G236" s="55">
        <v>271088</v>
      </c>
    </row>
    <row r="237" spans="3:7" x14ac:dyDescent="0.3">
      <c r="C237" s="53"/>
      <c r="D237" s="54" t="s">
        <v>227</v>
      </c>
      <c r="E237" s="55"/>
      <c r="F237" s="55"/>
      <c r="G237" s="55">
        <v>149995</v>
      </c>
    </row>
    <row r="238" spans="3:7" x14ac:dyDescent="0.3">
      <c r="C238" s="53"/>
      <c r="D238" s="54" t="s">
        <v>228</v>
      </c>
      <c r="E238" s="55"/>
      <c r="F238" s="55"/>
      <c r="G238" s="55">
        <v>125840</v>
      </c>
    </row>
    <row r="239" spans="3:7" x14ac:dyDescent="0.3">
      <c r="C239" s="53"/>
      <c r="D239" s="54" t="s">
        <v>229</v>
      </c>
      <c r="E239" s="55"/>
      <c r="F239" s="55"/>
      <c r="G239" s="55">
        <v>82500</v>
      </c>
    </row>
    <row r="240" spans="3:7" x14ac:dyDescent="0.3">
      <c r="C240" s="53"/>
      <c r="D240" s="54" t="s">
        <v>230</v>
      </c>
      <c r="E240" s="55"/>
      <c r="F240" s="55"/>
      <c r="G240" s="55">
        <v>62763.85</v>
      </c>
    </row>
    <row r="241" spans="3:7" x14ac:dyDescent="0.3">
      <c r="C241" s="53"/>
      <c r="D241" s="54" t="s">
        <v>231</v>
      </c>
      <c r="E241" s="55"/>
      <c r="F241" s="55"/>
      <c r="G241" s="55">
        <v>28199.86</v>
      </c>
    </row>
    <row r="242" spans="3:7" x14ac:dyDescent="0.3">
      <c r="C242" s="53"/>
      <c r="D242" s="54" t="s">
        <v>232</v>
      </c>
      <c r="E242" s="55"/>
      <c r="F242" s="55"/>
      <c r="G242" s="55">
        <v>13018.28</v>
      </c>
    </row>
    <row r="243" spans="3:7" x14ac:dyDescent="0.3">
      <c r="C243" s="53"/>
      <c r="D243" s="54" t="s">
        <v>233</v>
      </c>
      <c r="E243" s="55"/>
      <c r="F243" s="55"/>
      <c r="G243" s="55">
        <v>3480.15</v>
      </c>
    </row>
    <row r="244" spans="3:7" x14ac:dyDescent="0.3">
      <c r="C244" s="56" t="s">
        <v>234</v>
      </c>
      <c r="D244" s="57"/>
      <c r="E244" s="58"/>
      <c r="F244" s="58"/>
      <c r="G244" s="58">
        <v>131583594.7</v>
      </c>
    </row>
    <row r="245" spans="3:7" ht="28.8" x14ac:dyDescent="0.3">
      <c r="C245" s="59" t="s">
        <v>235</v>
      </c>
      <c r="D245" s="54" t="s">
        <v>236</v>
      </c>
      <c r="E245" s="55"/>
      <c r="F245" s="55"/>
      <c r="G245" s="55">
        <v>2773000</v>
      </c>
    </row>
    <row r="246" spans="3:7" x14ac:dyDescent="0.3">
      <c r="C246" s="53"/>
      <c r="D246" s="54" t="s">
        <v>237</v>
      </c>
      <c r="E246" s="55"/>
      <c r="F246" s="55"/>
      <c r="G246" s="55">
        <v>1600000</v>
      </c>
    </row>
    <row r="247" spans="3:7" x14ac:dyDescent="0.3">
      <c r="C247" s="53"/>
      <c r="D247" s="54" t="s">
        <v>238</v>
      </c>
      <c r="E247" s="55"/>
      <c r="F247" s="55"/>
      <c r="G247" s="55">
        <v>1375000</v>
      </c>
    </row>
    <row r="248" spans="3:7" x14ac:dyDescent="0.3">
      <c r="C248" s="53"/>
      <c r="D248" s="54" t="s">
        <v>239</v>
      </c>
      <c r="E248" s="55"/>
      <c r="F248" s="55"/>
      <c r="G248" s="55">
        <v>1375000</v>
      </c>
    </row>
    <row r="249" spans="3:7" x14ac:dyDescent="0.3">
      <c r="C249" s="53"/>
      <c r="D249" s="54" t="s">
        <v>240</v>
      </c>
      <c r="E249" s="55"/>
      <c r="F249" s="55"/>
      <c r="G249" s="55">
        <v>873000</v>
      </c>
    </row>
    <row r="250" spans="3:7" x14ac:dyDescent="0.3">
      <c r="C250" s="53"/>
      <c r="D250" s="54" t="s">
        <v>241</v>
      </c>
      <c r="E250" s="55"/>
      <c r="F250" s="55"/>
      <c r="G250" s="55">
        <v>859050</v>
      </c>
    </row>
    <row r="251" spans="3:7" x14ac:dyDescent="0.3">
      <c r="C251" s="53"/>
      <c r="D251" s="54" t="s">
        <v>242</v>
      </c>
      <c r="E251" s="55"/>
      <c r="F251" s="55"/>
      <c r="G251" s="55">
        <v>700000</v>
      </c>
    </row>
    <row r="252" spans="3:7" x14ac:dyDescent="0.3">
      <c r="C252" s="53"/>
      <c r="D252" s="54" t="s">
        <v>243</v>
      </c>
      <c r="E252" s="55"/>
      <c r="F252" s="55"/>
      <c r="G252" s="55">
        <v>645269</v>
      </c>
    </row>
    <row r="253" spans="3:7" x14ac:dyDescent="0.3">
      <c r="C253" s="53"/>
      <c r="D253" s="54" t="s">
        <v>244</v>
      </c>
      <c r="E253" s="55"/>
      <c r="F253" s="55"/>
      <c r="G253" s="55">
        <v>386232</v>
      </c>
    </row>
    <row r="254" spans="3:7" x14ac:dyDescent="0.3">
      <c r="C254" s="53"/>
      <c r="D254" s="54" t="s">
        <v>245</v>
      </c>
      <c r="E254" s="55"/>
      <c r="F254" s="55"/>
      <c r="G254" s="55">
        <v>288000</v>
      </c>
    </row>
    <row r="255" spans="3:7" x14ac:dyDescent="0.3">
      <c r="C255" s="53"/>
      <c r="D255" s="54" t="s">
        <v>246</v>
      </c>
      <c r="E255" s="55"/>
      <c r="F255" s="55"/>
      <c r="G255" s="55">
        <v>70000</v>
      </c>
    </row>
    <row r="256" spans="3:7" x14ac:dyDescent="0.3">
      <c r="C256" s="56" t="s">
        <v>247</v>
      </c>
      <c r="D256" s="57"/>
      <c r="E256" s="58"/>
      <c r="F256" s="58"/>
      <c r="G256" s="58">
        <v>10944551</v>
      </c>
    </row>
    <row r="257" spans="3:9" x14ac:dyDescent="0.3">
      <c r="C257" s="53" t="s">
        <v>248</v>
      </c>
      <c r="D257" s="54" t="s">
        <v>249</v>
      </c>
      <c r="E257" s="55"/>
      <c r="F257" s="55"/>
      <c r="G257" s="55">
        <v>30166073.010000002</v>
      </c>
    </row>
    <row r="258" spans="3:9" x14ac:dyDescent="0.3">
      <c r="C258" s="53"/>
      <c r="D258" s="54" t="s">
        <v>250</v>
      </c>
      <c r="E258" s="61"/>
      <c r="F258" s="61"/>
      <c r="G258" s="61">
        <v>12028332.51</v>
      </c>
    </row>
    <row r="259" spans="3:9" x14ac:dyDescent="0.3">
      <c r="C259" s="53"/>
      <c r="D259" s="54" t="s">
        <v>251</v>
      </c>
      <c r="E259" s="55"/>
      <c r="F259" s="55"/>
      <c r="G259" s="55">
        <v>11600944.609999998</v>
      </c>
    </row>
    <row r="260" spans="3:9" x14ac:dyDescent="0.3">
      <c r="C260" s="53"/>
      <c r="D260" s="54" t="s">
        <v>252</v>
      </c>
      <c r="E260" s="55"/>
      <c r="F260" s="55"/>
      <c r="G260" s="55">
        <v>7841701.4299999997</v>
      </c>
    </row>
    <row r="261" spans="3:9" x14ac:dyDescent="0.3">
      <c r="C261" s="53"/>
      <c r="D261" s="54" t="s">
        <v>253</v>
      </c>
      <c r="E261" s="61"/>
      <c r="F261" s="61"/>
      <c r="G261" s="61">
        <v>6676886.4000000004</v>
      </c>
    </row>
    <row r="262" spans="3:9" x14ac:dyDescent="0.3">
      <c r="C262" s="53"/>
      <c r="D262" s="54" t="s">
        <v>254</v>
      </c>
      <c r="E262" s="55"/>
      <c r="F262" s="55"/>
      <c r="G262" s="55">
        <v>6039627.9800000004</v>
      </c>
    </row>
    <row r="263" spans="3:9" x14ac:dyDescent="0.3">
      <c r="C263" s="53"/>
      <c r="D263" s="54" t="s">
        <v>255</v>
      </c>
      <c r="E263" s="55"/>
      <c r="F263" s="55"/>
      <c r="G263" s="55">
        <v>5891393.25</v>
      </c>
    </row>
    <row r="264" spans="3:9" x14ac:dyDescent="0.3">
      <c r="C264" s="53"/>
      <c r="D264" s="54" t="s">
        <v>256</v>
      </c>
      <c r="E264" s="61"/>
      <c r="F264" s="61"/>
      <c r="G264" s="61">
        <v>1173907.1599999999</v>
      </c>
    </row>
    <row r="265" spans="3:9" x14ac:dyDescent="0.3">
      <c r="C265" s="53"/>
      <c r="D265" s="54" t="s">
        <v>257</v>
      </c>
      <c r="E265" s="61"/>
      <c r="F265" s="61"/>
      <c r="G265" s="61">
        <v>518750.06</v>
      </c>
    </row>
    <row r="266" spans="3:9" x14ac:dyDescent="0.3">
      <c r="C266" s="53"/>
      <c r="D266" s="54" t="s">
        <v>258</v>
      </c>
      <c r="E266" s="55"/>
      <c r="F266" s="55"/>
      <c r="G266" s="55">
        <v>132778.35999999999</v>
      </c>
    </row>
    <row r="267" spans="3:9" x14ac:dyDescent="0.3">
      <c r="C267" s="53"/>
      <c r="D267" s="54" t="s">
        <v>259</v>
      </c>
      <c r="E267" s="61"/>
      <c r="F267" s="61"/>
      <c r="G267" s="61">
        <v>85943.52</v>
      </c>
    </row>
    <row r="268" spans="3:9" x14ac:dyDescent="0.3">
      <c r="C268" s="53"/>
      <c r="D268" s="54" t="s">
        <v>260</v>
      </c>
      <c r="E268" s="55"/>
      <c r="F268" s="55"/>
      <c r="G268" s="55">
        <v>298.93</v>
      </c>
    </row>
    <row r="269" spans="3:9" x14ac:dyDescent="0.3">
      <c r="C269" s="56" t="s">
        <v>261</v>
      </c>
      <c r="D269" s="62"/>
      <c r="E269" s="63"/>
      <c r="F269" s="63"/>
      <c r="G269" s="63">
        <v>82156637.220000014</v>
      </c>
    </row>
    <row r="270" spans="3:9" ht="15" thickBot="1" x14ac:dyDescent="0.35">
      <c r="C270" s="64" t="s">
        <v>262</v>
      </c>
      <c r="D270" s="65"/>
      <c r="E270" s="66"/>
      <c r="F270" s="66"/>
      <c r="G270" s="66">
        <v>1019501194.6099993</v>
      </c>
    </row>
    <row r="271" spans="3:9" ht="9.75" customHeight="1" thickBot="1" x14ac:dyDescent="0.35">
      <c r="C271" s="67"/>
      <c r="D271" s="67"/>
      <c r="E271" s="67"/>
      <c r="F271" s="7"/>
      <c r="G271" s="68"/>
      <c r="I271" s="12"/>
    </row>
    <row r="272" spans="3:9" ht="30" thickTop="1" thickBot="1" x14ac:dyDescent="0.35">
      <c r="C272" s="32" t="s">
        <v>263</v>
      </c>
      <c r="D272" s="33"/>
      <c r="E272" s="33"/>
      <c r="F272" s="33"/>
      <c r="G272" s="69">
        <f>+G26-G270</f>
        <v>6797244.6100006104</v>
      </c>
    </row>
    <row r="273" spans="3:7" ht="15" thickTop="1" x14ac:dyDescent="0.3"/>
    <row r="274" spans="3:7" ht="28.8" customHeight="1" x14ac:dyDescent="0.3">
      <c r="C274" s="92" t="s">
        <v>264</v>
      </c>
      <c r="D274" s="92"/>
      <c r="E274" s="70"/>
      <c r="F274" s="70"/>
      <c r="G274" s="71"/>
    </row>
    <row r="276" spans="3:7" x14ac:dyDescent="0.3">
      <c r="C276" s="72" t="s">
        <v>265</v>
      </c>
      <c r="D276" s="73" t="s">
        <v>4</v>
      </c>
      <c r="E276" s="74" t="s">
        <v>266</v>
      </c>
      <c r="F276" s="74" t="s">
        <v>267</v>
      </c>
      <c r="G276" s="75" t="s">
        <v>268</v>
      </c>
    </row>
    <row r="277" spans="3:7" x14ac:dyDescent="0.3">
      <c r="C277" s="76" t="s">
        <v>269</v>
      </c>
      <c r="D277" s="77"/>
      <c r="E277" s="78">
        <v>2589021.1400699997</v>
      </c>
      <c r="F277" s="78">
        <v>104396.01371249999</v>
      </c>
      <c r="G277" s="78"/>
    </row>
    <row r="278" spans="3:7" x14ac:dyDescent="0.3">
      <c r="C278" s="79" t="s">
        <v>11</v>
      </c>
      <c r="D278" s="47"/>
      <c r="E278" s="80">
        <v>267373.13</v>
      </c>
      <c r="F278" s="80">
        <v>18269.739999999998</v>
      </c>
      <c r="G278" s="80">
        <v>174754.15</v>
      </c>
    </row>
    <row r="279" spans="3:7" x14ac:dyDescent="0.3">
      <c r="C279" s="79" t="s">
        <v>270</v>
      </c>
      <c r="D279" s="47"/>
      <c r="E279" s="80">
        <v>3927814.71</v>
      </c>
      <c r="F279" s="80">
        <v>195478.50999999998</v>
      </c>
      <c r="G279" s="80"/>
    </row>
    <row r="280" spans="3:7" x14ac:dyDescent="0.3">
      <c r="C280" s="79" t="s">
        <v>271</v>
      </c>
      <c r="D280" s="47"/>
      <c r="E280" s="80">
        <v>714096.39910000004</v>
      </c>
      <c r="F280" s="80">
        <v>302387.33</v>
      </c>
      <c r="G280" s="80"/>
    </row>
    <row r="281" spans="3:7" x14ac:dyDescent="0.3">
      <c r="C281" s="81" t="s">
        <v>272</v>
      </c>
      <c r="D281" s="82"/>
      <c r="E281" s="83">
        <v>379356.91800000001</v>
      </c>
      <c r="F281" s="83">
        <v>18967.82</v>
      </c>
      <c r="G281" s="83"/>
    </row>
    <row r="282" spans="3:7" x14ac:dyDescent="0.3">
      <c r="C282" s="72" t="s">
        <v>273</v>
      </c>
      <c r="D282" s="84" t="s">
        <v>4</v>
      </c>
      <c r="E282" s="85">
        <f>SUM(E277:E281)</f>
        <v>7877662.2971699992</v>
      </c>
      <c r="F282" s="85">
        <f>SUM(F277:F281)</f>
        <v>639499.41371250001</v>
      </c>
      <c r="G282" s="85">
        <f>SUM(G277:G281)</f>
        <v>174754.15</v>
      </c>
    </row>
    <row r="284" spans="3:7" x14ac:dyDescent="0.3">
      <c r="C284" s="72" t="s">
        <v>274</v>
      </c>
      <c r="D284" s="73"/>
      <c r="E284" s="86"/>
      <c r="F284" s="73"/>
      <c r="G284" s="87">
        <f>SUM(E282:G282)</f>
        <v>8691915.8608825002</v>
      </c>
    </row>
  </sheetData>
  <mergeCells count="3">
    <mergeCell ref="C1:G1"/>
    <mergeCell ref="C29:G29"/>
    <mergeCell ref="C274:D274"/>
  </mergeCells>
  <printOptions horizontalCentered="1"/>
  <pageMargins left="0.11811023622047245" right="0.11811023622047245" top="0.39370078740157483" bottom="0.74803149606299213" header="0.31496062992125984" footer="0.31496062992125984"/>
  <pageSetup paperSize="9" scale="78" orientation="landscape" r:id="rId1"/>
  <headerFooter>
    <oddFooter>&amp;C&amp;P/&amp;N</oddFooter>
  </headerFooter>
  <rowBreaks count="1" manualBreakCount="1">
    <brk id="2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FINAL CFlow dic 25</vt:lpstr>
      <vt:lpstr>'FINAL CFlow dic 25'!Área_de_impresión</vt:lpstr>
      <vt:lpstr>'FINAL CFlow dic 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Allegrini</dc:creator>
  <cp:lastModifiedBy>Fabian Allegrini</cp:lastModifiedBy>
  <cp:lastPrinted>2026-05-21T15:49:59Z</cp:lastPrinted>
  <dcterms:created xsi:type="dcterms:W3CDTF">2026-05-21T15:42:37Z</dcterms:created>
  <dcterms:modified xsi:type="dcterms:W3CDTF">2026-05-29T14:43:09Z</dcterms:modified>
</cp:coreProperties>
</file>